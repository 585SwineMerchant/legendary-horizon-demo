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c57b309d3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3c0e9193f334c67"/>
    <x:sheet xmlns:r="http://schemas.openxmlformats.org/officeDocument/2006/relationships" name="Item Inventory" sheetId="2" r:id="R4a27b8c4b24f4261"/>
    <x:sheet xmlns:r="http://schemas.openxmlformats.org/officeDocument/2006/relationships" name="Verb Dictionary" sheetId="3" r:id="R46725945dae74460"/>
    <x:sheet xmlns:r="http://schemas.openxmlformats.org/officeDocument/2006/relationships" name="Drop Tables" sheetId="4" r:id="R2d1bac4f9ab544fa"/>
    <x:sheet xmlns:r="http://schemas.openxmlformats.org/officeDocument/2006/relationships" name="Deployment Plan" sheetId="5" r:id="R159922a1292440ef"/>
    <x:sheet xmlns:r="http://schemas.openxmlformats.org/officeDocument/2006/relationships" name="Pause Menu &amp; Journal" sheetId="6" r:id="Rd32921aa2cff4bdc"/>
    <x:sheet xmlns:r="http://schemas.openxmlformats.org/officeDocument/2006/relationships" name="Lists" sheetId="7" r:id="R8582aaf6f9ef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0A0C10"/>
      <x:name val="Carlito"/>
    </x:font>
    <x:font>
      <x:b/>
      <x:sz val="16"/>
      <x:color rgb="F59E0B"/>
      <x:name val="Carlito"/>
    </x:font>
    <x:font>
      <x:sz val="11"/>
      <x:color rgb="CBD5E1"/>
      <x:name val="Carlito"/>
    </x:font>
    <x:font>
      <x:sz val="11"/>
      <x:color rgb="111827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D97706"/>
      </x:patternFill>
    </x:fill>
    <x:fill>
      <x:patternFill patternType="solid">
        <x:fgColor rgb="0A0C10"/>
      </x:patternFill>
    </x:fill>
    <x:fill>
      <x:patternFill patternType="solid">
        <x:fgColor rgb="111827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top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111827"/>
      </x:font>
      <x:fill>
        <x:patternFill patternType="solid">
          <x:bgColor rgb="FDE68A"/>
        </x:patternFill>
      </x:fill>
    </x:dxf>
    <x:dxf>
      <x:font>
        <x:color rgb="14532D"/>
      </x:font>
      <x:fill>
        <x:patternFill patternType="solid">
          <x:bgColor rgb="DCFCE7"/>
        </x:patternFill>
      </x:fill>
    </x:dxf>
    <x:dxf>
      <x:font>
        <x:color rgb="1E3A8A"/>
      </x:font>
      <x:fill>
        <x:patternFill patternType="solid">
          <x:bgColor rgb="DBEAFE"/>
        </x:patternFill>
      </x:fill>
    </x:dxf>
    <x:dxf>
      <x:font>
        <x:color rgb="78350F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a2ec9c9bc4f1d" /><Relationship Type="http://schemas.openxmlformats.org/officeDocument/2006/relationships/theme" Target="/xl/theme/theme1.xml" Id="R1679e8ad4a9f4494" /><Relationship Type="http://schemas.openxmlformats.org/officeDocument/2006/relationships/sharedStrings" Target="/xl/sharedStrings.xml" Id="Rdf51d1554f764eaf" /><Relationship Type="http://schemas.openxmlformats.org/officeDocument/2006/relationships/worksheet" Target="/xl/worksheets/sheet1.xml" Id="Rb3c0e9193f334c67" /><Relationship Type="http://schemas.openxmlformats.org/officeDocument/2006/relationships/worksheet" Target="/xl/worksheets/sheet2.xml" Id="R4a27b8c4b24f4261" /><Relationship Type="http://schemas.openxmlformats.org/officeDocument/2006/relationships/worksheet" Target="/xl/worksheets/sheet3.xml" Id="R46725945dae74460" /><Relationship Type="http://schemas.openxmlformats.org/officeDocument/2006/relationships/worksheet" Target="/xl/worksheets/sheet4.xml" Id="R2d1bac4f9ab544fa" /><Relationship Type="http://schemas.openxmlformats.org/officeDocument/2006/relationships/worksheet" Target="/xl/worksheets/sheet5.xml" Id="R159922a1292440ef" /><Relationship Type="http://schemas.openxmlformats.org/officeDocument/2006/relationships/worksheet" Target="/xl/worksheets/sheet6.xml" Id="Rd32921aa2cff4bdc" /><Relationship Type="http://schemas.openxmlformats.org/officeDocument/2006/relationships/worksheet" Target="/xl/worksheets/sheet7.xml" Id="R8582aaf6f9ef4e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a5daf689a346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Item Count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'Dashboard'!$A$14:$A$19</c:f>
              <c:strCache>
                <c:ptCount val="0"/>
              </c:strCache>
            </c:strRef>
          </c:cat>
          <c:val>
            <c:numRef>
              <c:f>'Dashboard'!$B$14:$B$19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a5daf689a346f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temInventoryTable" displayName="ItemInventoryTable" ref="A1:R63" headerRowCount="1">
  <x:tableColumns count="18">
    <x:tableColumn id="1" name="Item ID"/>
    <x:tableColumn id="2" name="Item Name"/>
    <x:tableColumn id="3" name="Category"/>
    <x:tableColumn id="4" name="Subcategory"/>
    <x:tableColumn id="5" name="Verb"/>
    <x:tableColumn id="6" name="Primary Use"/>
    <x:tableColumn id="7" name="Description"/>
    <x:tableColumn id="8" name="Acquisition / Deployment"/>
    <x:tableColumn id="9" name="Act / Timing"/>
    <x:tableColumn id="10" name="Source Type"/>
    <x:tableColumn id="11" name="Battle Use?"/>
    <x:tableColumn id="12" name="Overworld Use?"/>
    <x:tableColumn id="13" name="Save / Journal Data?"/>
    <x:tableColumn id="14" name="Asset Need"/>
    <x:tableColumn id="15" name="Engine / Tiled Hook"/>
    <x:tableColumn id="16" name="Status"/>
    <x:tableColumn id="17" name="Priority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erbDictionaryTable" displayName="VerbDictionaryTable" ref="A1:D23" headerRowCount="1">
  <x:tableColumns count="4">
    <x:tableColumn id="1" name="Verb"/>
    <x:tableColumn id="2" name="Definition"/>
    <x:tableColumn id="3" name="Example Items"/>
    <x:tableColumn id="4" name="System Area"/>
  </x:tableColumns>
  <x:tableStyleInfo name="TableStyleMedium2" showRowStripes="1"/>
</x:table>
</file>

<file path=xl/tables/table3.xml><?xml version="1.0" encoding="utf-8"?>
<x:table xmlns:x="http://schemas.openxmlformats.org/spreadsheetml/2006/main" id="3" name="DropTablesTable" displayName="DropTablesTable" ref="A1:E8" headerRowCount="1">
  <x:tableColumns count="5">
    <x:tableColumn id="1" name="Enemy / Event"/>
    <x:tableColumn id="2" name="Common Drops"/>
    <x:tableColumn id="3" name="Uncommon Drops"/>
    <x:tableColumn id="4" name="Rare Drops"/>
    <x:tableColumn id="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eploymentPlanTable" displayName="DeploymentPlanTable" ref="A1:F7" headerRowCount="1">
  <x:tableColumns count="6">
    <x:tableColumn id="1" name="Pass"/>
    <x:tableColumn id="2" name="System"/>
    <x:tableColumn id="3" name="Deliverables"/>
    <x:tableColumn id="4" name="Dependencies"/>
    <x:tableColumn id="5" name="Priority"/>
    <x:tableColumn id="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auseJournalTable" displayName="PauseJournalTable" ref="A1:D7" headerRowCount="1">
  <x:tableColumns count="4">
    <x:tableColumn id="1" name="Old Button / Concept"/>
    <x:tableColumn id="2" name="New Button / Concept"/>
    <x:tableColumn id="3" name="Purpose"/>
    <x:tableColumn id="4" name="Implementation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434c010b8a47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34a6340baa47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1830f328b64a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1d0fd53e2d4f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b5f2ca460e4b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cd7e8dd36a4cf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58" hidden="0" customWidth="1"/>
    <x:col min="5" max="5" width="46" hidden="0" customWidth="1"/>
    <x:col min="6" max="6" width="10" hidden="0" customWidth="1"/>
    <x:col min="7" max="7" width="14" hidden="0" customWidth="1"/>
  </x:cols>
  <x:sheetData>
    <x:row r="1">
      <x:c r="A1" s="40" t="str">
        <x:v>Legendary Horizon — Item Inventory &amp; Fun Layer Dashboard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2" t="str">
        <x:v>Generated 2026-05-30 • Covers Field Kit, Satchel, Guild Relics, Journal/Mementos, Cosmetics, VFX, verbs, drops, and deployment passes.</x:v>
      </x:c>
      <x:c r="B2" s="42"/>
      <x:c r="C2" s="42"/>
      <x:c r="D2" s="42"/>
      <x:c r="E2" s="42"/>
      <x:c r="F2" s="42"/>
      <x:c r="G2" s="42"/>
      <x:c r="H2" s="42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3" t="str">
        <x:v>Metric</x:v>
      </x:c>
      <x:c r="B4" s="43" t="str">
        <x:v>Formula / Value</x:v>
      </x:c>
      <x:c r="C4" s="43" t="str">
        <x:v>Notes</x:v>
      </x:c>
      <x:c r="D4" s="41"/>
      <x:c r="E4" s="44" t="str">
        <x:v>Key Design Decisions</x:v>
      </x:c>
      <x:c r="F4" s="44"/>
      <x:c r="G4" s="44"/>
      <x:c r="H4" s="44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5" t="str">
        <x:v>Total items</x:v>
      </x:c>
      <x:c r="B5" s="45" t="n">
        <x:f>COUNTA('Item Inventory'!A2:A63)</x:f>
        <x:v>62</x:v>
      </x:c>
      <x:c r="C5" s="45" t="str">
        <x:v>All rows in Item Inventory</x:v>
      </x:c>
      <x:c r="D5" s="41"/>
      <x:c r="E5" s="43" t="str">
        <x:v>Decision</x:v>
      </x:c>
      <x:c r="F5" s="43" t="str">
        <x:v>Current Choice</x:v>
      </x:c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5" t="str">
        <x:v>Approved items</x:v>
      </x:c>
      <x:c r="B6" s="45" t="n">
        <x:f>COUNTIF('Item Inventory'!P2:P63,"Approved")</x:f>
        <x:v>31</x:v>
      </x:c>
      <x:c r="C6" s="45" t="str">
        <x:v>Ready or accepted conceptually</x:v>
      </x:c>
      <x:c r="D6" s="41"/>
      <x:c r="E6" s="46" t="str">
        <x:v>Currency / coins</x:v>
      </x:c>
      <x:c r="F6" s="46" t="str">
        <x:v>Do not add yet</x:v>
      </x:c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5" t="str">
        <x:v>High priority items</x:v>
      </x:c>
      <x:c r="B7" s="45" t="n">
        <x:f>COUNTIF('Item Inventory'!Q2:Q63,"High")</x:f>
        <x:v>20</x:v>
      </x:c>
      <x:c r="C7" s="45" t="str">
        <x:v>Implement first</x:v>
      </x:c>
      <x:c r="D7" s="41"/>
      <x:c r="E7" s="46" t="str">
        <x:v>Store / vendor</x:v>
      </x:c>
      <x:c r="F7" s="46" t="str">
        <x:v>Do not build yet</x:v>
      </x:c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5" t="str">
        <x:v>Battle-capable items</x:v>
      </x:c>
      <x:c r="B8" s="45" t="n">
        <x:f>COUNTIF('Item Inventory'!K2:K63,"Yes")</x:f>
        <x:v>21</x:v>
      </x:c>
      <x:c r="C8" s="45" t="str">
        <x:v>Items usable in combat</x:v>
      </x:c>
      <x:c r="D8" s="41"/>
      <x:c r="E8" s="46" t="str">
        <x:v>Primary item acquisition</x:v>
      </x:c>
      <x:c r="F8" s="46" t="str">
        <x:v>Enemy drops, exploration finds, Guild HQ rewards</x:v>
      </x:c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5" t="str">
        <x:v>Overworld-capable items</x:v>
      </x:c>
      <x:c r="B9" s="45" t="n">
        <x:f>COUNTIF('Item Inventory'!L2:L63,"Yes")</x:f>
        <x:v>9</x:v>
      </x:c>
      <x:c r="C9" s="45" t="str">
        <x:v>Items usable for exploration</x:v>
      </x:c>
      <x:c r="D9" s="41"/>
      <x:c r="E9" s="46" t="str">
        <x:v>Failure language</x:v>
      </x:c>
      <x:c r="F9" s="46" t="str">
        <x:v>Traveler is Overwhelmed and retreats; no death</x:v>
      </x:c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5" t="str">
        <x:v>Save/Journal data items</x:v>
      </x:c>
      <x:c r="B10" s="45" t="n">
        <x:f>COUNTIF('Item Inventory'!M2:M63,"Yes")</x:f>
        <x:v>52</x:v>
      </x:c>
      <x:c r="C10" s="45" t="str">
        <x:v>Items that must persist or display in journal</x:v>
      </x:c>
      <x:c r="D10" s="41"/>
      <x:c r="E10" s="46" t="str">
        <x:v>Cosmetic strategy</x:v>
      </x:c>
      <x:c r="F10" s="46" t="str">
        <x:v>Start with UI/journal/sprite overlays; avoid tilework-heavy cosmetics</x:v>
      </x:c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6" t="str">
        <x:v>Pause shell</x:v>
      </x:c>
      <x:c r="F11" s="46" t="str">
        <x:v>Keep Scroll of Destiny; evolve button labels and panels</x:v>
      </x:c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 t="str">
        <x:v>Category</x:v>
      </x:c>
      <x:c r="B13" s="43" t="str">
        <x:v>Count</x:v>
      </x:c>
      <x:c r="C13" s="43" t="str">
        <x:v>Implementation Note</x:v>
      </x:c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6" t="str">
        <x:v>Cosmetic</x:v>
      </x:c>
      <x:c r="B14" s="46" t="n">
        <x:f>COUNTIF('Item Inventory'!C2:C63,A14)</x:f>
        <x:v>6</x:v>
      </x:c>
      <x:c r="C14" s="46" t="str">
        <x:v>Use UI/sprite overlays first, not tilework</x:v>
      </x:c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6" t="str">
        <x:v>Field Kit</x:v>
      </x:c>
      <x:c r="B15" s="46" t="n">
        <x:f>COUNTIF('Item Inventory'!C2:C63,A15)</x:f>
        <x:v>5</x:v>
      </x:c>
      <x:c r="C15" s="46" t="str">
        <x:v>Permanent tools: Compass, Lantern, Journal, Markers, Campfire Kit</x:v>
      </x:c>
      <x:c r="D15" s="41"/>
      <x:c r="E15" s="44" t="str">
        <x:v>Next Implementation Actions</x:v>
      </x:c>
      <x:c r="F15" s="44"/>
      <x:c r="G15" s="44"/>
      <x:c r="H15" s="44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6" t="str">
        <x:v>Guild Relic</x:v>
      </x:c>
      <x:c r="B16" s="46" t="n">
        <x:f>COUNTIF('Item Inventory'!C2:C63,A16)</x:f>
        <x:v>16</x:v>
      </x:c>
      <x:c r="C16" s="46" t="str">
        <x:v>Major realm/HQ rewards with verbs</x:v>
      </x:c>
      <x:c r="D16" s="41"/>
      <x:c r="E16" s="43" t="str">
        <x:v>Next Action</x:v>
      </x:c>
      <x:c r="F16" s="43" t="str">
        <x:v>Pass</x:v>
      </x:c>
      <x:c r="G16" s="43" t="str">
        <x:v>Priority</x:v>
      </x:c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6" t="str">
        <x:v>Memento</x:v>
      </x:c>
      <x:c r="B17" s="46" t="n">
        <x:f>COUNTIF('Item Inventory'!C2:C63,A17)</x:f>
        <x:v>16</x:v>
      </x:c>
      <x:c r="C17" s="46" t="str">
        <x:v>Collectibles displayed in Field Journal</x:v>
      </x:c>
      <x:c r="D17" s="41"/>
      <x:c r="E17" s="46" t="str">
        <x:v>Rename Documents → Field Journal and Save → Make Camp</x:v>
      </x:c>
      <x:c r="F17" s="46" t="n">
        <x:v>1</x:v>
      </x:c>
      <x:c r="G17" s="46" t="str">
        <x:v>High</x:v>
      </x:c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6" t="str">
        <x:v>Satchel Consumable</x:v>
      </x:c>
      <x:c r="B18" s="46" t="n">
        <x:f>COUNTIF('Item Inventory'!C2:C63,A18)</x:f>
        <x:v>9</x:v>
      </x:c>
      <x:c r="C18" s="46" t="str">
        <x:v>Dropped/usable items; no vendor yet</x:v>
      </x:c>
      <x:c r="D18" s="41"/>
      <x:c r="E18" s="46" t="str">
        <x:v>Add Satchel button/placeholders</x:v>
      </x:c>
      <x:c r="F18" s="46" t="n">
        <x:v>1</x:v>
      </x:c>
      <x:c r="G18" s="46" t="str">
        <x:v>High</x:v>
      </x:c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6" t="str">
        <x:v>VFX / Environment</x:v>
      </x:c>
      <x:c r="B19" s="46" t="n">
        <x:f>COUNTIF('Item Inventory'!C2:C63,A19)</x:f>
        <x:v>10</x:v>
      </x:c>
      <x:c r="C19" s="46" t="str">
        <x:v>Game-feel and environmental reaction library</x:v>
      </x:c>
      <x:c r="D19" s="41"/>
      <x:c r="E19" s="46" t="str">
        <x:v>Implement Compass target logic</x:v>
      </x:c>
      <x:c r="F19" s="46" t="n">
        <x:v>2</x:v>
      </x:c>
      <x:c r="G19" s="46" t="str">
        <x:v>High</x:v>
      </x:c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6" t="str">
        <x:v>Implement Lantern local light</x:v>
      </x:c>
      <x:c r="F20" s="46" t="n">
        <x:v>2</x:v>
      </x:c>
      <x:c r="G20" s="46" t="str">
        <x:v>High</x:v>
      </x:c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6" t="str">
        <x:v>Implement HP/Resolve and Overwhelmed retreat</x:v>
      </x:c>
      <x:c r="F21" s="46" t="n">
        <x:v>3</x:v>
      </x:c>
      <x:c r="G21" s="46" t="str">
        <x:v>High</x:v>
      </x:c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6" t="str">
        <x:v>Add Remedy Herb and Focus Tea as first drops</x:v>
      </x:c>
      <x:c r="F22" s="46" t="n">
        <x:v>3</x:v>
      </x:c>
      <x:c r="G22" s="46" t="str">
        <x:v>High</x:v>
      </x:c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6" t="str">
        <x:v>Tune Grass Rustle and add Hit Spark/Dust Puff</x:v>
      </x:c>
      <x:c r="F23" s="46" t="n">
        <x:v>4</x:v>
      </x:c>
      <x:c r="G23" s="46" t="str">
        <x:v>High</x:v>
      </x:c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mergeCells>
    <x:mergeCell ref="A1:H1"/>
    <x:mergeCell ref="A2:H2"/>
    <x:mergeCell ref="E4:H4"/>
    <x:mergeCell ref="E15:H15"/>
  </x:mergeCells>
  <x:conditionalFormatting sqref="B14:B19">
    <x:cfRule type="dataBar" priority="1">
      <x:dataBar>
        <x:cfvo type="min"/>
        <x:cfvo type="max"/>
        <x:color rgb="F59E0B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0434c010b8a47d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59E0B"/>
            </x14:dataBar>
          </x14:cfRule>
          <xm:sqref>B14:B19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22" hidden="0" customWidth="1"/>
    <x:col min="5" max="5" width="15" hidden="0" customWidth="1"/>
    <x:col min="6" max="6" width="22" hidden="0" customWidth="1"/>
    <x:col min="7" max="7" width="34" hidden="0" customWidth="1"/>
    <x:col min="8" max="8" width="28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16" hidden="0" customWidth="1"/>
    <x:col min="14" max="14" width="24" hidden="0" customWidth="1"/>
    <x:col min="15" max="15" width="24" hidden="0" customWidth="1"/>
    <x:col min="16" max="16" width="14" hidden="0" customWidth="1"/>
    <x:col min="17" max="17" width="10" hidden="0" customWidth="1"/>
    <x:col min="18" max="18" width="36" hidden="0" customWidth="1"/>
  </x:cols>
  <x:sheetData>
    <x:row r="1">
      <x:c r="A1" s="43" t="str">
        <x:v>Item ID</x:v>
      </x:c>
      <x:c r="B1" s="43" t="str">
        <x:v>Item Name</x:v>
      </x:c>
      <x:c r="C1" s="43" t="str">
        <x:v>Category</x:v>
      </x:c>
      <x:c r="D1" s="43" t="str">
        <x:v>Subcategory</x:v>
      </x:c>
      <x:c r="E1" s="43" t="str">
        <x:v>Verb</x:v>
      </x:c>
      <x:c r="F1" s="43" t="str">
        <x:v>Primary Use</x:v>
      </x:c>
      <x:c r="G1" s="43" t="str">
        <x:v>Description</x:v>
      </x:c>
      <x:c r="H1" s="43" t="str">
        <x:v>Acquisition / Deployment</x:v>
      </x:c>
      <x:c r="I1" s="43" t="str">
        <x:v>Act / Timing</x:v>
      </x:c>
      <x:c r="J1" s="43" t="str">
        <x:v>Source Type</x:v>
      </x:c>
      <x:c r="K1" s="43" t="str">
        <x:v>Battle Use?</x:v>
      </x:c>
      <x:c r="L1" s="43" t="str">
        <x:v>Overworld Use?</x:v>
      </x:c>
      <x:c r="M1" s="43" t="str">
        <x:v>Save / Journal Data?</x:v>
      </x:c>
      <x:c r="N1" s="43" t="str">
        <x:v>Asset Need</x:v>
      </x:c>
      <x:c r="O1" s="43" t="str">
        <x:v>Engine / Tiled Hook</x:v>
      </x:c>
      <x:c r="P1" s="43" t="str">
        <x:v>Status</x:v>
      </x:c>
      <x:c r="Q1" s="43" t="str">
        <x:v>Priority</x:v>
      </x:c>
      <x:c r="R1" s="43" t="str">
        <x:v>Notes</x:v>
      </x:c>
      <x:c r="S1" s="41"/>
      <x:c r="T1" s="41"/>
      <x:c r="U1" s="41"/>
      <x:c r="V1" s="41"/>
      <x:c r="W1" s="41"/>
      <x:c r="X1" s="41"/>
      <x:c r="Y1" s="41"/>
      <x:c r="Z1" s="41"/>
    </x:row>
    <x:row r="2">
      <x:c r="A2" s="46" t="str">
        <x:v>GR-AUR-001</x:v>
      </x:c>
      <x:c r="B2" s="46" t="str">
        <x:v>Remedy Staff</x:v>
      </x:c>
      <x:c r="C2" s="46" t="str">
        <x:v>Guild Relic</x:v>
      </x:c>
      <x:c r="D2" s="46" t="str">
        <x:v>Aurora Apothecary</x:v>
      </x:c>
      <x:c r="E2" s="46" t="str">
        <x:v>Heal</x:v>
      </x:c>
      <x:c r="F2" s="46" t="str">
        <x:v>Focus / Catalyst healing</x:v>
      </x:c>
      <x:c r="G2" s="46" t="str">
        <x:v>Soft green healing particles and herbal glow</x:v>
      </x:c>
      <x:c r="H2" s="46" t="str">
        <x:v>Guild HQ research reward</x:v>
      </x:c>
      <x:c r="I2" s="46" t="str">
        <x:v>Act III discovery / Act IV trial-ready</x:v>
      </x:c>
      <x:c r="J2" s="46" t="str">
        <x:v>Quest reward</x:v>
      </x:c>
      <x:c r="K2" s="46" t="str">
        <x:v>Yes</x:v>
      </x:c>
      <x:c r="L2" s="46" t="str">
        <x:v>Possible cleanse/heal interaction later</x:v>
      </x:c>
      <x:c r="M2" s="46" t="str">
        <x:v>Yes</x:v>
      </x:c>
      <x:c r="N2" s="46" t="str">
        <x:v>1 idle/hold frame + heal particles</x:v>
      </x:c>
      <x:c r="O2" s="46" t="str">
        <x:v>heal_glow_vfx; possible HP restore</x:v>
      </x:c>
      <x:c r="P2" s="46" t="str">
        <x:v>Approved</x:v>
      </x:c>
      <x:c r="Q2" s="46" t="str">
        <x:v>High</x:v>
      </x:c>
      <x:c r="R2" s="46" t="str">
        <x:v>Core healing relic</x:v>
      </x:c>
      <x:c r="S2" s="41"/>
      <x:c r="T2" s="41"/>
      <x:c r="U2" s="41"/>
      <x:c r="V2" s="41"/>
      <x:c r="W2" s="41"/>
      <x:c r="X2" s="41"/>
      <x:c r="Y2" s="41"/>
      <x:c r="Z2" s="41"/>
    </x:row>
    <x:row r="3">
      <x:c r="A3" s="46" t="str">
        <x:v>GR-CHR-001</x:v>
      </x:c>
      <x:c r="B3" s="46" t="str">
        <x:v>Projected Voice</x:v>
      </x:c>
      <x:c r="C3" s="46" t="str">
        <x:v>Guild Relic</x:v>
      </x:c>
      <x:c r="D3" s="46" t="str">
        <x:v>Chronicler's Spire</x:v>
      </x:c>
      <x:c r="E3" s="46" t="str">
        <x:v>Project</x:v>
      </x:c>
      <x:c r="F3" s="46" t="str">
        <x:v>Spell projectile sonic wave</x:v>
      </x:c>
      <x:c r="G3" s="46" t="str">
        <x:v>Projectile sound waves</x:v>
      </x:c>
      <x:c r="H3" s="46" t="str">
        <x:v>Guild HQ research reward</x:v>
      </x:c>
      <x:c r="I3" s="46" t="str">
        <x:v>Act III discovery / Act IV trial-ready</x:v>
      </x:c>
      <x:c r="J3" s="46" t="str">
        <x:v>Quest reward</x:v>
      </x:c>
      <x:c r="K3" s="46" t="str">
        <x:v>Yes</x:v>
      </x:c>
      <x:c r="L3" s="46" t="str">
        <x:v>Possible distant switch/sonic interaction later</x:v>
      </x:c>
      <x:c r="M3" s="46" t="str">
        <x:v>Yes</x:v>
      </x:c>
      <x:c r="N3" s="46" t="str">
        <x:v>Projectile wave VFX</x:v>
      </x:c>
      <x:c r="O3" s="46" t="str">
        <x:v>projectile_sonic_vfx</x:v>
      </x:c>
      <x:c r="P3" s="46" t="str">
        <x:v>Approved</x:v>
      </x:c>
      <x:c r="Q3" s="46" t="str">
        <x:v>Medium</x:v>
      </x:c>
      <x:c r="R3" s="46" t="str">
        <x:v>Good for Arts/A/V/Communications identity</x:v>
      </x:c>
      <x:c r="S3" s="41"/>
      <x:c r="T3" s="41"/>
      <x:c r="U3" s="41"/>
      <x:c r="V3" s="41"/>
      <x:c r="W3" s="41"/>
      <x:c r="X3" s="41"/>
      <x:c r="Y3" s="41"/>
      <x:c r="Z3" s="41"/>
    </x:row>
    <x:row r="4">
      <x:c r="A4" s="46" t="str">
        <x:v>GR-EMP-001</x:v>
      </x:c>
      <x:c r="B4" s="46" t="str">
        <x:v>Guardian Embrace</x:v>
      </x:c>
      <x:c r="C4" s="46" t="str">
        <x:v>Guild Relic</x:v>
      </x:c>
      <x:c r="D4" s="46" t="str">
        <x:v>Empath's Enclave</x:v>
      </x:c>
      <x:c r="E4" s="46" t="str">
        <x:v>Shield</x:v>
      </x:c>
      <x:c r="F4" s="46" t="str">
        <x:v>Focus / Catalyst shield</x:v>
      </x:c>
      <x:c r="G4" s="46" t="str">
        <x:v>Spectral ribbons and emotional aura effects</x:v>
      </x:c>
      <x:c r="H4" s="46" t="str">
        <x:v>Guild HQ research reward</x:v>
      </x:c>
      <x:c r="I4" s="46" t="str">
        <x:v>Act III discovery / Act IV trial-ready</x:v>
      </x:c>
      <x:c r="J4" s="46" t="str">
        <x:v>Quest reward</x:v>
      </x:c>
      <x:c r="K4" s="46" t="str">
        <x:v>Yes</x:v>
      </x:c>
      <x:c r="L4" s="46" t="str">
        <x:v>Could block hazard/damage later</x:v>
      </x:c>
      <x:c r="M4" s="46" t="str">
        <x:v>Yes</x:v>
      </x:c>
      <x:c r="N4" s="46" t="str">
        <x:v>Shield aura effect</x:v>
      </x:c>
      <x:c r="O4" s="46" t="str">
        <x:v>shield_flash_vfx</x:v>
      </x:c>
      <x:c r="P4" s="46" t="str">
        <x:v>Approved</x:v>
      </x:c>
      <x:c r="Q4" s="46" t="str">
        <x:v>Medium</x:v>
      </x:c>
      <x:c r="R4" s="46" t="str">
        <x:v>Human Services identity; protection/support fantasy</x:v>
      </x:c>
      <x:c r="S4" s="41"/>
      <x:c r="T4" s="41"/>
      <x:c r="U4" s="41"/>
      <x:c r="V4" s="41"/>
      <x:c r="W4" s="41"/>
      <x:c r="X4" s="41"/>
      <x:c r="Y4" s="41"/>
      <x:c r="Z4" s="41"/>
    </x:row>
    <x:row r="5">
      <x:c r="A5" s="46" t="str">
        <x:v>GR-MER-001</x:v>
      </x:c>
      <x:c r="B5" s="46" t="str">
        <x:v>Freezing Prices</x:v>
      </x:c>
      <x:c r="C5" s="46" t="str">
        <x:v>Guild Relic</x:v>
      </x:c>
      <x:c r="D5" s="46" t="str">
        <x:v>Mercantile's Citadel</x:v>
      </x:c>
      <x:c r="E5" s="46" t="str">
        <x:v>Project</x:v>
      </x:c>
      <x:c r="F5" s="46" t="str">
        <x:v>Spell projectile ice</x:v>
      </x:c>
      <x:c r="G5" s="46" t="str">
        <x:v>Projectile ice and snow</x:v>
      </x:c>
      <x:c r="H5" s="46" t="str">
        <x:v>Guild HQ research reward</x:v>
      </x:c>
      <x:c r="I5" s="46" t="str">
        <x:v>Act III discovery / Act IV trial-ready</x:v>
      </x:c>
      <x:c r="J5" s="46" t="str">
        <x:v>Quest reward</x:v>
      </x:c>
      <x:c r="K5" s="46" t="str">
        <x:v>Yes</x:v>
      </x:c>
      <x:c r="L5" s="46" t="str">
        <x:v>Could freeze temporary hazards later</x:v>
      </x:c>
      <x:c r="M5" s="46" t="str">
        <x:v>Yes</x:v>
      </x:c>
      <x:c r="N5" s="46" t="str">
        <x:v>Ice projectile VFX</x:v>
      </x:c>
      <x:c r="O5" s="46" t="str">
        <x:v>projectile_ice_vfx</x:v>
      </x:c>
      <x:c r="P5" s="46" t="str">
        <x:v>Approved</x:v>
      </x:c>
      <x:c r="Q5" s="46" t="str">
        <x:v>Medium</x:v>
      </x:c>
      <x:c r="R5" s="46" t="str">
        <x:v>Business/Marketing-adjacent pun is fun</x:v>
      </x:c>
      <x:c r="S5" s="41"/>
      <x:c r="T5" s="41"/>
      <x:c r="U5" s="41"/>
      <x:c r="V5" s="41"/>
      <x:c r="W5" s="41"/>
      <x:c r="X5" s="41"/>
      <x:c r="Y5" s="41"/>
      <x:c r="Z5" s="41"/>
    </x:row>
    <x:row r="6">
      <x:c r="A6" s="46" t="str">
        <x:v>GR-ETH-001</x:v>
      </x:c>
      <x:c r="B6" s="46" t="str">
        <x:v>Code Surge</x:v>
      </x:c>
      <x:c r="C6" s="46" t="str">
        <x:v>Guild Relic</x:v>
      </x:c>
      <x:c r="D6" s="46" t="str">
        <x:v>The Etheric Nexus</x:v>
      </x:c>
      <x:c r="E6" s="46" t="str">
        <x:v>Project</x:v>
      </x:c>
      <x:c r="F6" s="46" t="str">
        <x:v>Spell projectile lightning</x:v>
      </x:c>
      <x:c r="G6" s="46" t="str">
        <x:v>Projectile digital sparks</x:v>
      </x:c>
      <x:c r="H6" s="46" t="str">
        <x:v>Guild HQ research reward</x:v>
      </x:c>
      <x:c r="I6" s="46" t="str">
        <x:v>Act III discovery / Act IV trial-ready</x:v>
      </x:c>
      <x:c r="J6" s="46" t="str">
        <x:v>Quest reward</x:v>
      </x:c>
      <x:c r="K6" s="46" t="str">
        <x:v>Yes</x:v>
      </x:c>
      <x:c r="L6" s="46" t="str">
        <x:v>Could activate digital nodes later</x:v>
      </x:c>
      <x:c r="M6" s="46" t="str">
        <x:v>Yes</x:v>
      </x:c>
      <x:c r="N6" s="46" t="str">
        <x:v>Lightning/digital projectile VFX</x:v>
      </x:c>
      <x:c r="O6" s="46" t="str">
        <x:v>projectile_lightning_vfx</x:v>
      </x:c>
      <x:c r="P6" s="46" t="str">
        <x:v>Approved</x:v>
      </x:c>
      <x:c r="Q6" s="46" t="str">
        <x:v>High</x:v>
      </x:c>
      <x:c r="R6" s="46" t="str">
        <x:v>Strong IT identity</x:v>
      </x:c>
      <x:c r="S6" s="41"/>
      <x:c r="T6" s="41"/>
      <x:c r="U6" s="41"/>
      <x:c r="V6" s="41"/>
      <x:c r="W6" s="41"/>
      <x:c r="X6" s="41"/>
      <x:c r="Y6" s="41"/>
      <x:c r="Z6" s="41"/>
    </x:row>
    <x:row r="7">
      <x:c r="A7" s="46" t="str">
        <x:v>GR-VUL-001</x:v>
      </x:c>
      <x:c r="B7" s="46" t="str">
        <x:v>Molten Core</x:v>
      </x:c>
      <x:c r="C7" s="46" t="str">
        <x:v>Guild Relic</x:v>
      </x:c>
      <x:c r="D7" s="46" t="str">
        <x:v>The Great Vulcanis Forge</x:v>
      </x:c>
      <x:c r="E7" s="46" t="str">
        <x:v>Project</x:v>
      </x:c>
      <x:c r="F7" s="46" t="str">
        <x:v>Spell projectile fire</x:v>
      </x:c>
      <x:c r="G7" s="46" t="str">
        <x:v>Molten sparks and forge fire embers</x:v>
      </x:c>
      <x:c r="H7" s="46" t="str">
        <x:v>Guild HQ research reward</x:v>
      </x:c>
      <x:c r="I7" s="46" t="str">
        <x:v>Act III discovery / Act IV trial-ready</x:v>
      </x:c>
      <x:c r="J7" s="46" t="str">
        <x:v>Quest reward</x:v>
      </x:c>
      <x:c r="K7" s="46" t="str">
        <x:v>Yes</x:v>
      </x:c>
      <x:c r="L7" s="46" t="str">
        <x:v>Could light braziers or clear frost later</x:v>
      </x:c>
      <x:c r="M7" s="46" t="str">
        <x:v>Yes</x:v>
      </x:c>
      <x:c r="N7" s="46" t="str">
        <x:v>Fire projectile VFX</x:v>
      </x:c>
      <x:c r="O7" s="46" t="str">
        <x:v>projectile_fire_vfx</x:v>
      </x:c>
      <x:c r="P7" s="46" t="str">
        <x:v>Approved</x:v>
      </x:c>
      <x:c r="Q7" s="46" t="str">
        <x:v>Medium</x:v>
      </x:c>
      <x:c r="R7" s="46" t="str">
        <x:v>Manufacturing/forge fantasy</x:v>
      </x:c>
      <x:c r="S7" s="41"/>
      <x:c r="T7" s="41"/>
      <x:c r="U7" s="41"/>
      <x:c r="V7" s="41"/>
      <x:c r="W7" s="41"/>
      <x:c r="X7" s="41"/>
      <x:c r="Y7" s="41"/>
      <x:c r="Z7" s="41"/>
    </x:row>
    <x:row r="8">
      <x:c r="A8" s="46" t="str">
        <x:v>GR-AET-001</x:v>
      </x:c>
      <x:c r="B8" s="46" t="str">
        <x:v>Harvest Scythe</x:v>
      </x:c>
      <x:c r="C8" s="46" t="str">
        <x:v>Guild Relic</x:v>
      </x:c>
      <x:c r="D8" s="46" t="str">
        <x:v>Aethelwood Farmsteads</x:v>
      </x:c>
      <x:c r="E8" s="46" t="str">
        <x:v>Slash</x:v>
      </x:c>
      <x:c r="F8" s="46" t="str">
        <x:v>Polearm / Reach slash</x:v>
      </x:c>
      <x:c r="G8" s="46" t="str">
        <x:v>Amber-green root magic, sweeping grass FX</x:v>
      </x:c>
      <x:c r="H8" s="46" t="str">
        <x:v>Guild HQ research reward</x:v>
      </x:c>
      <x:c r="I8" s="46" t="str">
        <x:v>Act III discovery / Act IV trial-ready</x:v>
      </x:c>
      <x:c r="J8" s="46" t="str">
        <x:v>Quest reward</x:v>
      </x:c>
      <x:c r="K8" s="46" t="str">
        <x:v>Yes</x:v>
      </x:c>
      <x:c r="L8" s="46" t="str">
        <x:v>Slash vines/tall grass/brambles</x:v>
      </x:c>
      <x:c r="M8" s="46" t="str">
        <x:v>Yes</x:v>
      </x:c>
      <x:c r="N8" s="46" t="str">
        <x:v>Single-frame weapon + slash arc</x:v>
      </x:c>
      <x:c r="O8" s="46" t="str">
        <x:v>slash_arc_vfx; grass_sweep_vfx</x:v>
      </x:c>
      <x:c r="P8" s="46" t="str">
        <x:v>Approved</x:v>
      </x:c>
      <x:c r="Q8" s="46" t="str">
        <x:v>High</x:v>
      </x:c>
      <x:c r="R8" s="46" t="str">
        <x:v>Aethelwood beta candidate</x:v>
      </x:c>
      <x:c r="S8" s="41"/>
      <x:c r="T8" s="41"/>
      <x:c r="U8" s="41"/>
      <x:c r="V8" s="41"/>
      <x:c r="W8" s="41"/>
      <x:c r="X8" s="41"/>
      <x:c r="Y8" s="41"/>
      <x:c r="Z8" s="41"/>
    </x:row>
    <x:row r="9">
      <x:c r="A9" s="46" t="str">
        <x:v>GR-MON-001</x:v>
      </x:c>
      <x:c r="B9" s="46" t="str">
        <x:v>Stonebreaker Hammer</x:v>
      </x:c>
      <x:c r="C9" s="46" t="str">
        <x:v>Guild Relic</x:v>
      </x:c>
      <x:c r="D9" s="46" t="str">
        <x:v>Monolith of Masonry</x:v>
      </x:c>
      <x:c r="E9" s="46" t="str">
        <x:v>Smash</x:v>
      </x:c>
      <x:c r="F9" s="46" t="str">
        <x:v>Heavy Bludgeon</x:v>
      </x:c>
      <x:c r="G9" s="46" t="str">
        <x:v>Downward swing with a heavy thud</x:v>
      </x:c>
      <x:c r="H9" s="46" t="str">
        <x:v>Guild HQ research reward</x:v>
      </x:c>
      <x:c r="I9" s="46" t="str">
        <x:v>Act III discovery / Act IV trial-ready</x:v>
      </x:c>
      <x:c r="J9" s="46" t="str">
        <x:v>Quest reward</x:v>
      </x:c>
      <x:c r="K9" s="46" t="str">
        <x:v>Yes</x:v>
      </x:c>
      <x:c r="L9" s="46" t="str">
        <x:v>Smash cracked rocks/barriers later</x:v>
      </x:c>
      <x:c r="M9" s="46" t="str">
        <x:v>Yes</x:v>
      </x:c>
      <x:c r="N9" s="46" t="str">
        <x:v>Single-frame weapon + impact burst</x:v>
      </x:c>
      <x:c r="O9" s="46" t="str">
        <x:v>smash_impact_vfx; screen_shake_light</x:v>
      </x:c>
      <x:c r="P9" s="46" t="str">
        <x:v>Approved</x:v>
      </x:c>
      <x:c r="Q9" s="46" t="str">
        <x:v>High</x:v>
      </x:c>
      <x:c r="R9" s="46" t="str">
        <x:v>Clear overworld verb</x:v>
      </x:c>
      <x:c r="S9" s="41"/>
      <x:c r="T9" s="41"/>
      <x:c r="U9" s="41"/>
      <x:c r="V9" s="41"/>
      <x:c r="W9" s="41"/>
      <x:c r="X9" s="41"/>
      <x:c r="Y9" s="41"/>
      <x:c r="Z9" s="41"/>
    </x:row>
    <x:row r="10">
      <x:c r="A10" s="46" t="str">
        <x:v>GR-ALC-001</x:v>
      </x:c>
      <x:c r="B10" s="46" t="str">
        <x:v>Catalyst Grenade</x:v>
      </x:c>
      <x:c r="C10" s="46" t="str">
        <x:v>Guild Relic</x:v>
      </x:c>
      <x:c r="D10" s="46" t="str">
        <x:v>The Alchemical Observatory</x:v>
      </x:c>
      <x:c r="E10" s="46" t="str">
        <x:v>Throw</x:v>
      </x:c>
      <x:c r="F10" s="46" t="str">
        <x:v>Thrown Explosive</x:v>
      </x:c>
      <x:c r="G10" s="46" t="str">
        <x:v>Potion explosions and volatile reactions</x:v>
      </x:c>
      <x:c r="H10" s="46" t="str">
        <x:v>Guild HQ research reward</x:v>
      </x:c>
      <x:c r="I10" s="46" t="str">
        <x:v>Act III discovery / Act IV trial-ready</x:v>
      </x:c>
      <x:c r="J10" s="46" t="str">
        <x:v>Quest reward</x:v>
      </x:c>
      <x:c r="K10" s="46" t="str">
        <x:v>Yes</x:v>
      </x:c>
      <x:c r="L10" s="46" t="str">
        <x:v>Throw to distant targets later</x:v>
      </x:c>
      <x:c r="M10" s="46" t="str">
        <x:v>Yes</x:v>
      </x:c>
      <x:c r="N10" s="46" t="str">
        <x:v>Throwable arc + burst</x:v>
      </x:c>
      <x:c r="O10" s="46" t="str">
        <x:v>thrown_burst_vfx</x:v>
      </x:c>
      <x:c r="P10" s="46" t="str">
        <x:v>Approved</x:v>
      </x:c>
      <x:c r="Q10" s="46" t="str">
        <x:v>Medium</x:v>
      </x:c>
      <x:c r="R10" s="46" t="str">
        <x:v>STEM identity; use carefully in school-safe framing</x:v>
      </x:c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6" t="str">
        <x:v>GR-CRO-001</x:v>
      </x:c>
      <x:c r="B11" s="46" t="str">
        <x:v>Traveler's Saber</x:v>
      </x:c>
      <x:c r="C11" s="46" t="str">
        <x:v>Guild Relic</x:v>
      </x:c>
      <x:c r="D11" s="46" t="str">
        <x:v>The Crossroads Haven</x:v>
      </x:c>
      <x:c r="E11" s="46" t="str">
        <x:v>Slash</x:v>
      </x:c>
      <x:c r="F11" s="46" t="str">
        <x:v>Light Blade</x:v>
      </x:c>
      <x:c r="G11" s="46" t="str">
        <x:v>Warm campfire tones and traveler aesthetic</x:v>
      </x:c>
      <x:c r="H11" s="46" t="str">
        <x:v>Guild HQ research reward</x:v>
      </x:c>
      <x:c r="I11" s="46" t="str">
        <x:v>Act III discovery / Act IV trial-ready</x:v>
      </x:c>
      <x:c r="J11" s="46" t="str">
        <x:v>Quest reward</x:v>
      </x:c>
      <x:c r="K11" s="46" t="str">
        <x:v>Yes</x:v>
      </x:c>
      <x:c r="L11" s="46" t="str">
        <x:v>General light slash</x:v>
      </x:c>
      <x:c r="M11" s="46" t="str">
        <x:v>Yes</x:v>
      </x:c>
      <x:c r="N11" s="46" t="str">
        <x:v>Light slash frame</x:v>
      </x:c>
      <x:c r="O11" s="46" t="str">
        <x:v>slash_light_vfx</x:v>
      </x:c>
      <x:c r="P11" s="46" t="str">
        <x:v>Approved</x:v>
      </x:c>
      <x:c r="Q11" s="46" t="str">
        <x:v>Medium</x:v>
      </x:c>
      <x:c r="R11" s="46" t="str">
        <x:v>Hospitality/travel realm; very usable</x:v>
      </x:c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6" t="str">
        <x:v>GR-GIL-001</x:v>
      </x:c>
      <x:c r="B12" s="46" t="str">
        <x:v>Golden Scimitar</x:v>
      </x:c>
      <x:c r="C12" s="46" t="str">
        <x:v>Guild Relic</x:v>
      </x:c>
      <x:c r="D12" s="46" t="str">
        <x:v>The Gilded Vault</x:v>
      </x:c>
      <x:c r="E12" s="46" t="str">
        <x:v>Slash</x:v>
      </x:c>
      <x:c r="F12" s="46" t="str">
        <x:v>Heavy Blade</x:v>
      </x:c>
      <x:c r="G12" s="46" t="str">
        <x:v>Golden glyph math circles and vault motifs</x:v>
      </x:c>
      <x:c r="H12" s="46" t="str">
        <x:v>Guild HQ research reward</x:v>
      </x:c>
      <x:c r="I12" s="46" t="str">
        <x:v>Act III discovery / Act IV trial-ready</x:v>
      </x:c>
      <x:c r="J12" s="46" t="str">
        <x:v>Quest reward</x:v>
      </x:c>
      <x:c r="K12" s="46" t="str">
        <x:v>Yes</x:v>
      </x:c>
      <x:c r="L12" s="46" t="str">
        <x:v>General slash / gold glyph puzzles later</x:v>
      </x:c>
      <x:c r="M12" s="46" t="str">
        <x:v>Yes</x:v>
      </x:c>
      <x:c r="N12" s="46" t="str">
        <x:v>Scimitar frame + glyph VFX</x:v>
      </x:c>
      <x:c r="O12" s="46" t="str">
        <x:v>slash_gold_glyph_vfx</x:v>
      </x:c>
      <x:c r="P12" s="46" t="str">
        <x:v>Approved</x:v>
      </x:c>
      <x:c r="Q12" s="46" t="str">
        <x:v>Medium</x:v>
      </x:c>
      <x:c r="R12" s="46" t="str">
        <x:v>Finance identity</x:v>
      </x:c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6" t="str">
        <x:v>GR-HIG-001</x:v>
      </x:c>
      <x:c r="B13" s="46" t="str">
        <x:v>Regent's Axe</x:v>
      </x:c>
      <x:c r="C13" s="46" t="str">
        <x:v>Guild Relic</x:v>
      </x:c>
      <x:c r="D13" s="46" t="str">
        <x:v>The High Council Hall</x:v>
      </x:c>
      <x:c r="E13" s="46" t="str">
        <x:v>Slash</x:v>
      </x:c>
      <x:c r="F13" s="46" t="str">
        <x:v>Heavy Blade</x:v>
      </x:c>
      <x:c r="G13" s="46" t="str">
        <x:v>Royal gold-white authority magic</x:v>
      </x:c>
      <x:c r="H13" s="46" t="str">
        <x:v>Guild HQ research reward</x:v>
      </x:c>
      <x:c r="I13" s="46" t="str">
        <x:v>Act III discovery / Act IV trial-ready</x:v>
      </x:c>
      <x:c r="J13" s="46" t="str">
        <x:v>Quest reward</x:v>
      </x:c>
      <x:c r="K13" s="46" t="str">
        <x:v>Yes</x:v>
      </x:c>
      <x:c r="L13" s="46" t="str">
        <x:v>General heavy slash</x:v>
      </x:c>
      <x:c r="M13" s="46" t="str">
        <x:v>Yes</x:v>
      </x:c>
      <x:c r="N13" s="46" t="str">
        <x:v>Axe frame + authority VFX</x:v>
      </x:c>
      <x:c r="O13" s="46" t="str">
        <x:v>slash_authority_vfx</x:v>
      </x:c>
      <x:c r="P13" s="46" t="str">
        <x:v>Approved</x:v>
      </x:c>
      <x:c r="Q13" s="46" t="str">
        <x:v>Medium</x:v>
      </x:c>
      <x:c r="R13" s="46" t="str">
        <x:v>Gov/Public Admin identity</x:v>
      </x:c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6" t="str">
        <x:v>GR-VAL-001</x:v>
      </x:c>
      <x:c r="B14" s="46" t="str">
        <x:v>Peacekeeper's Mace</x:v>
      </x:c>
      <x:c r="C14" s="46" t="str">
        <x:v>Guild Relic</x:v>
      </x:c>
      <x:c r="D14" s="46" t="str">
        <x:v>Valor's Watchtower</x:v>
      </x:c>
      <x:c r="E14" s="46" t="str">
        <x:v>Smash</x:v>
      </x:c>
      <x:c r="F14" s="46" t="str">
        <x:v>Light Bludgeon</x:v>
      </x:c>
      <x:c r="G14" s="46" t="str">
        <x:v>Royal gold-white authority magic</x:v>
      </x:c>
      <x:c r="H14" s="46" t="str">
        <x:v>Guild HQ research reward</x:v>
      </x:c>
      <x:c r="I14" s="46" t="str">
        <x:v>Act III discovery / Act IV trial-ready</x:v>
      </x:c>
      <x:c r="J14" s="46" t="str">
        <x:v>Quest reward</x:v>
      </x:c>
      <x:c r="K14" s="46" t="str">
        <x:v>Yes</x:v>
      </x:c>
      <x:c r="L14" s="46" t="str">
        <x:v>Smash weak locks/crates later</x:v>
      </x:c>
      <x:c r="M14" s="46" t="str">
        <x:v>Yes</x:v>
      </x:c>
      <x:c r="N14" s="46" t="str">
        <x:v>Mace frame + hit spark</x:v>
      </x:c>
      <x:c r="O14" s="46" t="str">
        <x:v>mace_hit_vfx</x:v>
      </x:c>
      <x:c r="P14" s="46" t="str">
        <x:v>Approved</x:v>
      </x:c>
      <x:c r="Q14" s="46" t="str">
        <x:v>Medium</x:v>
      </x:c>
      <x:c r="R14" s="46" t="str">
        <x:v>Law/Public Safety identity</x:v>
      </x:c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6" t="str">
        <x:v>GR-ODY-001</x:v>
      </x:c>
      <x:c r="B15" s="46" t="str">
        <x:v>Swift Passage Raft</x:v>
      </x:c>
      <x:c r="C15" s="46" t="str">
        <x:v>Guild Relic</x:v>
      </x:c>
      <x:c r="D15" s="46" t="str">
        <x:v>Odyssey's Harbor</x:v>
      </x:c>
      <x:c r="E15" s="46" t="str">
        <x:v>Float</x:v>
      </x:c>
      <x:c r="F15" s="46" t="str">
        <x:v>Pull from backpack</x:v>
      </x:c>
      <x:c r="G15" s="46" t="str">
        <x:v>Ocean-blue speed trails and wind FX</x:v>
      </x:c>
      <x:c r="H15" s="46" t="str">
        <x:v>Guild HQ research reward</x:v>
      </x:c>
      <x:c r="I15" s="46" t="str">
        <x:v>Act III discovery / Act IV traversal-ready</x:v>
      </x:c>
      <x:c r="J15" s="46" t="str">
        <x:v>Quest reward</x:v>
      </x:c>
      <x:c r="K15" s="46" t="str">
        <x:v>No</x:v>
      </x:c>
      <x:c r="L15" s="46" t="str">
        <x:v>Cross shallow water / water routes</x:v>
      </x:c>
      <x:c r="M15" s="46" t="str">
        <x:v>Yes</x:v>
      </x:c>
      <x:c r="N15" s="46" t="str">
        <x:v>Raft sprite + water wake</x:v>
      </x:c>
      <x:c r="O15" s="46" t="str">
        <x:v>raft_deploy_vfx; water_wake_vfx</x:v>
      </x:c>
      <x:c r="P15" s="46" t="str">
        <x:v>Approved</x:v>
      </x:c>
      <x:c r="Q15" s="46" t="str">
        <x:v>High</x:v>
      </x:c>
      <x:c r="R15" s="46" t="str">
        <x:v>Major traversal toy</x:v>
      </x:c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6" t="str">
        <x:v>GR-ARC-001</x:v>
      </x:c>
      <x:c r="B16" s="46" t="str">
        <x:v>Librarian's Ladder</x:v>
      </x:c>
      <x:c r="C16" s="46" t="str">
        <x:v>Guild Relic</x:v>
      </x:c>
      <x:c r="D16" s="46" t="str">
        <x:v>The Archives of Ascension</x:v>
      </x:c>
      <x:c r="E16" s="46" t="str">
        <x:v>Climb</x:v>
      </x:c>
      <x:c r="F16" s="46" t="str">
        <x:v>Pull from backpack</x:v>
      </x:c>
      <x:c r="G16" s="46" t="str">
        <x:v>Ladder to climb cliffs without a ramp</x:v>
      </x:c>
      <x:c r="H16" s="46" t="str">
        <x:v>Guild HQ research reward</x:v>
      </x:c>
      <x:c r="I16" s="46" t="str">
        <x:v>Act III discovery / Act IV traversal-ready</x:v>
      </x:c>
      <x:c r="J16" s="46" t="str">
        <x:v>Quest reward</x:v>
      </x:c>
      <x:c r="K16" s="46" t="str">
        <x:v>No</x:v>
      </x:c>
      <x:c r="L16" s="46" t="str">
        <x:v>Climb cliffs/ledges where allowed</x:v>
      </x:c>
      <x:c r="M16" s="46" t="str">
        <x:v>Yes</x:v>
      </x:c>
      <x:c r="N16" s="46" t="str">
        <x:v>Ladder sprite</x:v>
      </x:c>
      <x:c r="O16" s="46" t="str">
        <x:v>ladder_deploy_vfx</x:v>
      </x:c>
      <x:c r="P16" s="46" t="str">
        <x:v>Approved</x:v>
      </x:c>
      <x:c r="Q16" s="46" t="str">
        <x:v>High</x:v>
      </x:c>
      <x:c r="R16" s="46" t="str">
        <x:v>Major traversal toy</x:v>
      </x:c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6" t="str">
        <x:v>GR-BAR-001</x:v>
      </x:c>
      <x:c r="B17" s="46" t="str">
        <x:v>Bard's Bridge</x:v>
      </x:c>
      <x:c r="C17" s="46" t="str">
        <x:v>Guild Relic</x:v>
      </x:c>
      <x:c r="D17" s="46" t="str">
        <x:v>The Bard's Beacon</x:v>
      </x:c>
      <x:c r="E17" s="46" t="str">
        <x:v>Traverse</x:v>
      </x:c>
      <x:c r="F17" s="46" t="str">
        <x:v>Pull from backpack</x:v>
      </x:c>
      <x:c r="G17" s="46" t="str">
        <x:v>Bridge extends over water for safe travel</x:v>
      </x:c>
      <x:c r="H17" s="46" t="str">
        <x:v>Guild HQ research reward</x:v>
      </x:c>
      <x:c r="I17" s="46" t="str">
        <x:v>Act III discovery / Act IV traversal-ready</x:v>
      </x:c>
      <x:c r="J17" s="46" t="str">
        <x:v>Quest reward</x:v>
      </x:c>
      <x:c r="K17" s="46" t="str">
        <x:v>No</x:v>
      </x:c>
      <x:c r="L17" s="46" t="str">
        <x:v>Bridge gaps or water crossings</x:v>
      </x:c>
      <x:c r="M17" s="46" t="str">
        <x:v>Yes</x:v>
      </x:c>
      <x:c r="N17" s="46" t="str">
        <x:v>Bridge extension sprite</x:v>
      </x:c>
      <x:c r="O17" s="46" t="str">
        <x:v>bridge_deploy_vfx</x:v>
      </x:c>
      <x:c r="P17" s="46" t="str">
        <x:v>Approved</x:v>
      </x:c>
      <x:c r="Q17" s="46" t="str">
        <x:v>High</x:v>
      </x:c>
      <x:c r="R17" s="46" t="str">
        <x:v>Major traversal toy</x:v>
      </x:c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6" t="str">
        <x:v>FK-COM-001</x:v>
      </x:c>
      <x:c r="B18" s="46" t="str">
        <x:v>Wayfinder Compass</x:v>
      </x:c>
      <x:c r="C18" s="46" t="str">
        <x:v>Field Kit</x:v>
      </x:c>
      <x:c r="D18" s="46" t="str">
        <x:v>Core Tool</x:v>
      </x:c>
      <x:c r="E18" s="46" t="str">
        <x:v>Orient</x:v>
      </x:c>
      <x:c r="F18" s="46" t="str">
        <x:v>Objective guidance</x:v>
      </x:c>
      <x:c r="G18" s="46" t="str">
        <x:v>Points toward active quest/selected marker</x:v>
      </x:c>
      <x:c r="H18" s="46" t="str">
        <x:v>Granted early</x:v>
      </x:c>
      <x:c r="I18" s="46" t="str">
        <x:v>Act I or Act II</x:v>
      </x:c>
      <x:c r="J18" s="46" t="str">
        <x:v>Main quest reward</x:v>
      </x:c>
      <x:c r="K18" s="46" t="str">
        <x:v>No</x:v>
      </x:c>
      <x:c r="L18" s="46" t="str">
        <x:v>Points to active quest target / marker</x:v>
      </x:c>
      <x:c r="M18" s="46" t="str">
        <x:v>Yes</x:v>
      </x:c>
      <x:c r="N18" s="46" t="str">
        <x:v>Compass UI icon + directional needle</x:v>
      </x:c>
      <x:c r="O18" s="46" t="str">
        <x:v>compass_targeting_system</x:v>
      </x:c>
      <x:c r="P18" s="46" t="str">
        <x:v>Approved</x:v>
      </x:c>
      <x:c r="Q18" s="46" t="str">
        <x:v>High</x:v>
      </x:c>
      <x:c r="R18" s="46" t="str">
        <x:v>Must reduce wandering frustration</x:v>
      </x:c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6" t="str">
        <x:v>FK-LAN-001</x:v>
      </x:c>
      <x:c r="B19" s="46" t="str">
        <x:v>Traveler's Lantern</x:v>
      </x:c>
      <x:c r="C19" s="46" t="str">
        <x:v>Field Kit</x:v>
      </x:c>
      <x:c r="D19" s="46" t="str">
        <x:v>Core Tool</x:v>
      </x:c>
      <x:c r="E19" s="46" t="str">
        <x:v>Illuminate</x:v>
      </x:c>
      <x:c r="F19" s="46" t="str">
        <x:v>Exploration light</x:v>
      </x:c>
      <x:c r="G19" s="46" t="str">
        <x:v>Illuminates local area only for now</x:v>
      </x:c>
      <x:c r="H19" s="46" t="str">
        <x:v>Granted early</x:v>
      </x:c>
      <x:c r="I19" s="46" t="str">
        <x:v>Act I or Act II</x:v>
      </x:c>
      <x:c r="J19" s="46" t="str">
        <x:v>Main quest reward</x:v>
      </x:c>
      <x:c r="K19" s="46" t="str">
        <x:v>No</x:v>
      </x:c>
      <x:c r="L19" s="46" t="str">
        <x:v>Light radius around Traveler</x:v>
      </x:c>
      <x:c r="M19" s="46" t="str">
        <x:v>Yes</x:v>
      </x:c>
      <x:c r="N19" s="46" t="str">
        <x:v>Lantern icon + light shader/circle</x:v>
      </x:c>
      <x:c r="O19" s="46" t="str">
        <x:v>local_light_radius</x:v>
      </x:c>
      <x:c r="P19" s="46" t="str">
        <x:v>Approved</x:v>
      </x:c>
      <x:c r="Q19" s="46" t="str">
        <x:v>High</x:v>
      </x:c>
      <x:c r="R19" s="46" t="str">
        <x:v>Do not add reveal mechanics yet</x:v>
      </x:c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6" t="str">
        <x:v>FK-JOU-001</x:v>
      </x:c>
      <x:c r="B20" s="46" t="str">
        <x:v>Field Journal</x:v>
      </x:c>
      <x:c r="C20" s="46" t="str">
        <x:v>Field Kit</x:v>
      </x:c>
      <x:c r="D20" s="46" t="str">
        <x:v>Core Tool</x:v>
      </x:c>
      <x:c r="E20" s="46" t="str">
        <x:v>Remember</x:v>
      </x:c>
      <x:c r="F20" s="46" t="str">
        <x:v>Documents/review hub</x:v>
      </x:c>
      <x:c r="G20" s="46" t="str">
        <x:v>Replaces old Documents section</x:v>
      </x:c>
      <x:c r="H20" s="46" t="str">
        <x:v>Granted with Scroll/Pause menu</x:v>
      </x:c>
      <x:c r="I20" s="46" t="str">
        <x:v>Act I</x:v>
      </x:c>
      <x:c r="J20" s="46" t="str">
        <x:v>System unlock</x:v>
      </x:c>
      <x:c r="K20" s="46" t="str">
        <x:v>No</x:v>
      </x:c>
      <x:c r="L20" s="46" t="str">
        <x:v>Review visited places/enemies/files</x:v>
      </x:c>
      <x:c r="M20" s="46" t="str">
        <x:v>Yes</x:v>
      </x:c>
      <x:c r="N20" s="46" t="str">
        <x:v>Journal UI tabs/icons</x:v>
      </x:c>
      <x:c r="O20" s="46" t="str">
        <x:v>field_journal_screen</x:v>
      </x:c>
      <x:c r="P20" s="46" t="str">
        <x:v>Approved</x:v>
      </x:c>
      <x:c r="Q20" s="46" t="str">
        <x:v>High</x:v>
      </x:c>
      <x:c r="R20" s="46" t="str">
        <x:v>Must include Work Files + Journey Review</x:v>
      </x:c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6" t="str">
        <x:v>FK-MAR-001</x:v>
      </x:c>
      <x:c r="B21" s="46" t="str">
        <x:v>Trail Markers</x:v>
      </x:c>
      <x:c r="C21" s="46" t="str">
        <x:v>Field Kit</x:v>
      </x:c>
      <x:c r="D21" s="46" t="str">
        <x:v>Navigation Tool</x:v>
      </x:c>
      <x:c r="E21" s="46" t="str">
        <x:v>Mark</x:v>
      </x:c>
      <x:c r="F21" s="46" t="str">
        <x:v>Player-made map marker</x:v>
      </x:c>
      <x:c r="G21" s="46" t="str">
        <x:v>Drop/remove marker and route compass to it</x:v>
      </x:c>
      <x:c r="H21" s="46" t="str">
        <x:v>Granted with World Atlas</x:v>
      </x:c>
      <x:c r="I21" s="46" t="str">
        <x:v>Act II/III</x:v>
      </x:c>
      <x:c r="J21" s="46" t="str">
        <x:v>Main quest reward</x:v>
      </x:c>
      <x:c r="K21" s="46" t="str">
        <x:v>No</x:v>
      </x:c>
      <x:c r="L21" s="46" t="str">
        <x:v>Mark current location on map</x:v>
      </x:c>
      <x:c r="M21" s="46" t="str">
        <x:v>Yes</x:v>
      </x:c>
      <x:c r="N21" s="46" t="str">
        <x:v>Marker icon variants</x:v>
      </x:c>
      <x:c r="O21" s="46" t="str">
        <x:v>trail_marker_state</x:v>
      </x:c>
      <x:c r="P21" s="46" t="str">
        <x:v>Approved</x:v>
      </x:c>
      <x:c r="Q21" s="46" t="str">
        <x:v>Medium</x:v>
      </x:c>
      <x:c r="R21" s="46" t="str">
        <x:v>Limit count early to avoid clutter</x:v>
      </x:c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6" t="str">
        <x:v>FK-CAM-001</x:v>
      </x:c>
      <x:c r="B22" s="46" t="str">
        <x:v>Campfire Kit</x:v>
      </x:c>
      <x:c r="C22" s="46" t="str">
        <x:v>Field Kit</x:v>
      </x:c>
      <x:c r="D22" s="46" t="str">
        <x:v>Save Tool</x:v>
      </x:c>
      <x:c r="E22" s="46" t="str">
        <x:v>Rest / Save</x:v>
      </x:c>
      <x:c r="F22" s="46" t="str">
        <x:v>Begins save ceremony</x:v>
      </x:c>
      <x:c r="G22" s="46" t="str">
        <x:v>Make Camp sequence before fireside reflection/save</x:v>
      </x:c>
      <x:c r="H22" s="46" t="str">
        <x:v>Granted before manual save</x:v>
      </x:c>
      <x:c r="I22" s="46" t="str">
        <x:v>Act I</x:v>
      </x:c>
      <x:c r="J22" s="46" t="str">
        <x:v>System unlock</x:v>
      </x:c>
      <x:c r="K22" s="46" t="str">
        <x:v>No</x:v>
      </x:c>
      <x:c r="L22" s="46" t="str">
        <x:v>Safe rest/save sequence</x:v>
      </x:c>
      <x:c r="M22" s="46" t="str">
        <x:v>Yes</x:v>
      </x:c>
      <x:c r="N22" s="46" t="str">
        <x:v>Campfire kit/campfire sparks</x:v>
      </x:c>
      <x:c r="O22" s="46" t="str">
        <x:v>campfire_save_sequence</x:v>
      </x:c>
      <x:c r="P22" s="46" t="str">
        <x:v>Approved</x:v>
      </x:c>
      <x:c r="Q22" s="46" t="str">
        <x:v>High</x:v>
      </x:c>
      <x:c r="R22" s="46" t="str">
        <x:v>Renames Save button to Make Camp</x:v>
      </x:c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6" t="str">
        <x:v>SAT-REM-001</x:v>
      </x:c>
      <x:c r="B23" s="46" t="str">
        <x:v>Remedy Herb</x:v>
      </x:c>
      <x:c r="C23" s="46" t="str">
        <x:v>Satchel Consumable</x:v>
      </x:c>
      <x:c r="D23" s="46" t="str">
        <x:v>Healing</x:v>
      </x:c>
      <x:c r="E23" s="46" t="str">
        <x:v>Heal</x:v>
      </x:c>
      <x:c r="F23" s="46" t="str">
        <x:v>Restore HP</x:v>
      </x:c>
      <x:c r="G23" s="46" t="str">
        <x:v>Restores 8 HP</x:v>
      </x:c>
      <x:c r="H23" s="46" t="str">
        <x:v>Enemy drop / exploration find</x:v>
      </x:c>
      <x:c r="I23" s="46" t="str">
        <x:v>Act I+</x:v>
      </x:c>
      <x:c r="J23" s="46" t="str">
        <x:v>Drop</x:v>
      </x:c>
      <x:c r="K23" s="46" t="str">
        <x:v>Yes</x:v>
      </x:c>
      <x:c r="L23" s="46" t="str">
        <x:v>No</x:v>
      </x:c>
      <x:c r="M23" s="46" t="str">
        <x:v>Yes</x:v>
      </x:c>
      <x:c r="N23" s="46" t="str">
        <x:v>Herb icon + heal sparkle</x:v>
      </x:c>
      <x:c r="O23" s="46" t="str">
        <x:v>use_item_restore_hp</x:v>
      </x:c>
      <x:c r="P23" s="46" t="str">
        <x:v>Approved</x:v>
      </x:c>
      <x:c r="Q23" s="46" t="str">
        <x:v>High</x:v>
      </x:c>
      <x:c r="R23" s="46" t="str">
        <x:v>First healing consumable</x:v>
      </x:c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6" t="str">
        <x:v>SAT-REM-002</x:v>
      </x:c>
      <x:c r="B24" s="46" t="str">
        <x:v>Greater Remedy</x:v>
      </x:c>
      <x:c r="C24" s="46" t="str">
        <x:v>Satchel Consumable</x:v>
      </x:c>
      <x:c r="D24" s="46" t="str">
        <x:v>Healing</x:v>
      </x:c>
      <x:c r="E24" s="46" t="str">
        <x:v>Heal</x:v>
      </x:c>
      <x:c r="F24" s="46" t="str">
        <x:v>Restore more HP</x:v>
      </x:c>
      <x:c r="G24" s="46" t="str">
        <x:v>Restores 15 HP</x:v>
      </x:c>
      <x:c r="H24" s="46" t="str">
        <x:v>Rare enemy drop</x:v>
      </x:c>
      <x:c r="I24" s="46" t="str">
        <x:v>Act II+</x:v>
      </x:c>
      <x:c r="J24" s="46" t="str">
        <x:v>Drop</x:v>
      </x:c>
      <x:c r="K24" s="46" t="str">
        <x:v>Yes</x:v>
      </x:c>
      <x:c r="L24" s="46" t="str">
        <x:v>No</x:v>
      </x:c>
      <x:c r="M24" s="46" t="str">
        <x:v>Yes</x:v>
      </x:c>
      <x:c r="N24" s="46" t="str">
        <x:v>Bundle herb icon</x:v>
      </x:c>
      <x:c r="O24" s="46" t="str">
        <x:v>use_item_restore_hp_large</x:v>
      </x:c>
      <x:c r="P24" s="46" t="str">
        <x:v>Planned</x:v>
      </x:c>
      <x:c r="Q24" s="46" t="str">
        <x:v>Medium</x:v>
      </x:c>
      <x:c r="R24" s="46" t="str">
        <x:v>Do after base herb works</x:v>
      </x:c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6" t="str">
        <x:v>SAT-FOC-001</x:v>
      </x:c>
      <x:c r="B25" s="46" t="str">
        <x:v>Focus Tea</x:v>
      </x:c>
      <x:c r="C25" s="46" t="str">
        <x:v>Satchel Consumable</x:v>
      </x:c>
      <x:c r="D25" s="46" t="str">
        <x:v>Knowledge Battle</x:v>
      </x:c>
      <x:c r="E25" s="46" t="str">
        <x:v>Focus</x:v>
      </x:c>
      <x:c r="F25" s="46" t="str">
        <x:v>Knowledge battle bonus</x:v>
      </x:c>
      <x:c r="G25" s="46" t="str">
        <x:v>One hint/boost or increased success window</x:v>
      </x:c>
      <x:c r="H25" s="46" t="str">
        <x:v>Enemy drop / reward</x:v>
      </x:c>
      <x:c r="I25" s="46" t="str">
        <x:v>Act II+</x:v>
      </x:c>
      <x:c r="J25" s="46" t="str">
        <x:v>Drop</x:v>
      </x:c>
      <x:c r="K25" s="46" t="str">
        <x:v>Yes</x:v>
      </x:c>
      <x:c r="L25" s="46" t="str">
        <x:v>No</x:v>
      </x:c>
      <x:c r="M25" s="46" t="str">
        <x:v>Yes</x:v>
      </x:c>
      <x:c r="N25" s="46" t="str">
        <x:v>Tea cup icon + focus pulse</x:v>
      </x:c>
      <x:c r="O25" s="46" t="str">
        <x:v>knowledge_battle_focus_bonus</x:v>
      </x:c>
      <x:c r="P25" s="46" t="str">
        <x:v>Approved</x:v>
      </x:c>
      <x:c r="Q25" s="46" t="str">
        <x:v>High</x:v>
      </x:c>
      <x:c r="R25" s="46" t="str">
        <x:v>Supports quiz battles</x:v>
      </x:c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6" t="str">
        <x:v>SAT-WPN-001</x:v>
      </x:c>
      <x:c r="B26" s="46" t="str">
        <x:v>Sharpening Stone</x:v>
      </x:c>
      <x:c r="C26" s="46" t="str">
        <x:v>Satchel Consumable</x:v>
      </x:c>
      <x:c r="D26" s="46" t="str">
        <x:v>Weapon Buff</x:v>
      </x:c>
      <x:c r="E26" s="46" t="str">
        <x:v>Empower Weapon</x:v>
      </x:c>
      <x:c r="F26" s="46" t="str">
        <x:v>Buff weapon attack</x:v>
      </x:c>
      <x:c r="G26" s="46" t="str">
        <x:v>Next weapon attack deals bonus damage</x:v>
      </x:c>
      <x:c r="H26" s="46" t="str">
        <x:v>Enemy drop</x:v>
      </x:c>
      <x:c r="I26" s="46" t="str">
        <x:v>Act II+</x:v>
      </x:c>
      <x:c r="J26" s="46" t="str">
        <x:v>Drop</x:v>
      </x:c>
      <x:c r="K26" s="46" t="str">
        <x:v>Yes</x:v>
      </x:c>
      <x:c r="L26" s="46" t="str">
        <x:v>No</x:v>
      </x:c>
      <x:c r="M26" s="46" t="str">
        <x:v>Yes</x:v>
      </x:c>
      <x:c r="N26" s="46" t="str">
        <x:v>Stone icon + weapon shine</x:v>
      </x:c>
      <x:c r="O26" s="46" t="str">
        <x:v>next_weapon_attack_bonus</x:v>
      </x:c>
      <x:c r="P26" s="46" t="str">
        <x:v>Approved</x:v>
      </x:c>
      <x:c r="Q26" s="46" t="str">
        <x:v>Medium</x:v>
      </x:c>
      <x:c r="R26" s="46" t="str">
        <x:v>Weapon path support</x:v>
      </x:c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6" t="str">
        <x:v>SAT-MAG-001</x:v>
      </x:c>
      <x:c r="B27" s="46" t="str">
        <x:v>Rune Oil</x:v>
      </x:c>
      <x:c r="C27" s="46" t="str">
        <x:v>Satchel Consumable</x:v>
      </x:c>
      <x:c r="D27" s="46" t="str">
        <x:v>Magic Buff</x:v>
      </x:c>
      <x:c r="E27" s="46" t="str">
        <x:v>Empower Magic</x:v>
      </x:c>
      <x:c r="F27" s="46" t="str">
        <x:v>Buff spell attack</x:v>
      </x:c>
      <x:c r="G27" s="46" t="str">
        <x:v>Next magic attack deals bonus damage</x:v>
      </x:c>
      <x:c r="H27" s="46" t="str">
        <x:v>Enemy drop</x:v>
      </x:c>
      <x:c r="I27" s="46" t="str">
        <x:v>Act II+</x:v>
      </x:c>
      <x:c r="J27" s="46" t="str">
        <x:v>Drop</x:v>
      </x:c>
      <x:c r="K27" s="46" t="str">
        <x:v>Yes</x:v>
      </x:c>
      <x:c r="L27" s="46" t="str">
        <x:v>No</x:v>
      </x:c>
      <x:c r="M27" s="46" t="str">
        <x:v>Yes</x:v>
      </x:c>
      <x:c r="N27" s="46" t="str">
        <x:v>Vial icon + rune glow</x:v>
      </x:c>
      <x:c r="O27" s="46" t="str">
        <x:v>next_magic_attack_bonus</x:v>
      </x:c>
      <x:c r="P27" s="46" t="str">
        <x:v>Approved</x:v>
      </x:c>
      <x:c r="Q27" s="46" t="str">
        <x:v>Medium</x:v>
      </x:c>
      <x:c r="R27" s="46" t="str">
        <x:v>Magic path support</x:v>
      </x:c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6" t="str">
        <x:v>SAT-GUA-001</x:v>
      </x:c>
      <x:c r="B28" s="46" t="str">
        <x:v>Guard Charm</x:v>
      </x:c>
      <x:c r="C28" s="46" t="str">
        <x:v>Satchel Consumable</x:v>
      </x:c>
      <x:c r="D28" s="46" t="str">
        <x:v>Defense</x:v>
      </x:c>
      <x:c r="E28" s="46" t="str">
        <x:v>Guard</x:v>
      </x:c>
      <x:c r="F28" s="46" t="str">
        <x:v>Reduce next damage</x:v>
      </x:c>
      <x:c r="G28" s="46" t="str">
        <x:v>Reduces next hit taken</x:v>
      </x:c>
      <x:c r="H28" s="46" t="str">
        <x:v>Enemy drop / chest</x:v>
      </x:c>
      <x:c r="I28" s="46" t="str">
        <x:v>Act II+</x:v>
      </x:c>
      <x:c r="J28" s="46" t="str">
        <x:v>Drop</x:v>
      </x:c>
      <x:c r="K28" s="46" t="str">
        <x:v>Yes</x:v>
      </x:c>
      <x:c r="L28" s="46" t="str">
        <x:v>No</x:v>
      </x:c>
      <x:c r="M28" s="46" t="str">
        <x:v>Yes</x:v>
      </x:c>
      <x:c r="N28" s="46" t="str">
        <x:v>Charm icon + shield flash</x:v>
      </x:c>
      <x:c r="O28" s="46" t="str">
        <x:v>next_damage_reduction</x:v>
      </x:c>
      <x:c r="P28" s="46" t="str">
        <x:v>Planned</x:v>
      </x:c>
      <x:c r="Q28" s="46" t="str">
        <x:v>Medium</x:v>
      </x:c>
      <x:c r="R28" s="46" t="str">
        <x:v>Good for boss/roamer balance</x:v>
      </x:c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6" t="str">
        <x:v>SAT-EMB-001</x:v>
      </x:c>
      <x:c r="B29" s="46" t="str">
        <x:v>Ember Spark</x:v>
      </x:c>
      <x:c r="C29" s="46" t="str">
        <x:v>Satchel Consumable</x:v>
      </x:c>
      <x:c r="D29" s="46" t="str">
        <x:v>Recharge</x:v>
      </x:c>
      <x:c r="E29" s="46" t="str">
        <x:v>Recharge</x:v>
      </x:c>
      <x:c r="F29" s="46" t="str">
        <x:v>Restore energy/magic</x:v>
      </x:c>
      <x:c r="G29" s="46" t="str">
        <x:v>Small magic/energy recharge</x:v>
      </x:c>
      <x:c r="H29" s="46" t="str">
        <x:v>Enemy drop / camp reward</x:v>
      </x:c>
      <x:c r="I29" s="46" t="str">
        <x:v>Act II+</x:v>
      </x:c>
      <x:c r="J29" s="46" t="str">
        <x:v>Drop</x:v>
      </x:c>
      <x:c r="K29" s="46" t="str">
        <x:v>Yes</x:v>
      </x:c>
      <x:c r="L29" s="46" t="str">
        <x:v>No</x:v>
      </x:c>
      <x:c r="M29" s="46" t="str">
        <x:v>Yes</x:v>
      </x:c>
      <x:c r="N29" s="46" t="str">
        <x:v>Spark icon + ember burst</x:v>
      </x:c>
      <x:c r="O29" s="46" t="str">
        <x:v>restore_energy_small</x:v>
      </x:c>
      <x:c r="P29" s="46" t="str">
        <x:v>Planned</x:v>
      </x:c>
      <x:c r="Q29" s="46" t="str">
        <x:v>Low</x:v>
      </x:c>
      <x:c r="R29" s="46" t="str">
        <x:v>Only if energy/magic meter exists</x:v>
      </x:c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6" t="str">
        <x:v>SAT-CLA-001</x:v>
      </x:c>
      <x:c r="B30" s="46" t="str">
        <x:v>Clarity Leaf</x:v>
      </x:c>
      <x:c r="C30" s="46" t="str">
        <x:v>Satchel Consumable</x:v>
      </x:c>
      <x:c r="D30" s="46" t="str">
        <x:v>Status Cleanse</x:v>
      </x:c>
      <x:c r="E30" s="46" t="str">
        <x:v>Cleanse</x:v>
      </x:c>
      <x:c r="F30" s="46" t="str">
        <x:v>Remove status</x:v>
      </x:c>
      <x:c r="G30" s="46" t="str">
        <x:v>Removes Shaken/Confused</x:v>
      </x:c>
      <x:c r="H30" s="46" t="str">
        <x:v>Enemy drop / exploration find</x:v>
      </x:c>
      <x:c r="I30" s="46" t="str">
        <x:v>Act II+</x:v>
      </x:c>
      <x:c r="J30" s="46" t="str">
        <x:v>Drop</x:v>
      </x:c>
      <x:c r="K30" s="46" t="str">
        <x:v>Yes</x:v>
      </x:c>
      <x:c r="L30" s="46" t="str">
        <x:v>No</x:v>
      </x:c>
      <x:c r="M30" s="46" t="str">
        <x:v>Yes</x:v>
      </x:c>
      <x:c r="N30" s="46" t="str">
        <x:v>Leaf icon + clear pulse</x:v>
      </x:c>
      <x:c r="O30" s="46" t="str">
        <x:v>remove_status_effect</x:v>
      </x:c>
      <x:c r="P30" s="46" t="str">
        <x:v>Planned</x:v>
      </x:c>
      <x:c r="Q30" s="46" t="str">
        <x:v>Low</x:v>
      </x:c>
      <x:c r="R30" s="46" t="str">
        <x:v>Depends on status system</x:v>
      </x:c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6" t="str">
        <x:v>SAT-RAT-001</x:v>
      </x:c>
      <x:c r="B31" s="46" t="str">
        <x:v>Trail Ration</x:v>
      </x:c>
      <x:c r="C31" s="46" t="str">
        <x:v>Satchel Consumable</x:v>
      </x:c>
      <x:c r="D31" s="46" t="str">
        <x:v>Sustain</x:v>
      </x:c>
      <x:c r="E31" s="46" t="str">
        <x:v>Sustain</x:v>
      </x:c>
      <x:c r="F31" s="46" t="str">
        <x:v>Small out-of-battle heal</x:v>
      </x:c>
      <x:c r="G31" s="46" t="str">
        <x:v>Restores small HP outside battle</x:v>
      </x:c>
      <x:c r="H31" s="46" t="str">
        <x:v>Exploration find</x:v>
      </x:c>
      <x:c r="I31" s="46" t="str">
        <x:v>Act I+</x:v>
      </x:c>
      <x:c r="J31" s="46" t="str">
        <x:v>Find</x:v>
      </x:c>
      <x:c r="K31" s="46" t="str">
        <x:v>No</x:v>
      </x:c>
      <x:c r="L31" s="46" t="str">
        <x:v>Yes</x:v>
      </x:c>
      <x:c r="M31" s="46" t="str">
        <x:v>Yes</x:v>
      </x:c>
      <x:c r="N31" s="46" t="str">
        <x:v>Ration icon</x:v>
      </x:c>
      <x:c r="O31" s="46" t="str">
        <x:v>use_item_out_of_battle_heal</x:v>
      </x:c>
      <x:c r="P31" s="46" t="str">
        <x:v>Planned</x:v>
      </x:c>
      <x:c r="Q31" s="46" t="str">
        <x:v>Low</x:v>
      </x:c>
      <x:c r="R31" s="46" t="str">
        <x:v>Useful but not urgent</x:v>
      </x:c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6" t="str">
        <x:v>MEM-AET-001</x:v>
      </x:c>
      <x:c r="B32" s="46" t="str">
        <x:v>Pressed Aethelwood Leaf</x:v>
      </x:c>
      <x:c r="C32" s="46" t="str">
        <x:v>Memento</x:v>
      </x:c>
      <x:c r="D32" s="46" t="str">
        <x:v>Realm Collectible</x:v>
      </x:c>
      <x:c r="E32" s="46" t="str">
        <x:v>Collect</x:v>
      </x:c>
      <x:c r="F32" s="46" t="str">
        <x:v>Display collectible</x:v>
      </x:c>
      <x:c r="G32" s="46" t="str">
        <x:v>Found near Aethelwood Farmsteads</x:v>
      </x:c>
      <x:c r="H32" s="46" t="str">
        <x:v>Exploration find</x:v>
      </x:c>
      <x:c r="I32" s="46" t="str">
        <x:v>Act III</x:v>
      </x:c>
      <x:c r="J32" s="46" t="str">
        <x:v>Find</x:v>
      </x:c>
      <x:c r="K32" s="46" t="str">
        <x:v>No</x:v>
      </x:c>
      <x:c r="L32" s="46" t="str">
        <x:v>No</x:v>
      </x:c>
      <x:c r="M32" s="46" t="str">
        <x:v>Yes</x:v>
      </x:c>
      <x:c r="N32" s="46" t="str">
        <x:v>Leaf icon</x:v>
      </x:c>
      <x:c r="O32" s="46" t="str">
        <x:v>journal_memento_grid</x:v>
      </x:c>
      <x:c r="P32" s="46" t="str">
        <x:v>Planned</x:v>
      </x:c>
      <x:c r="Q32" s="46" t="str">
        <x:v>Medium</x:v>
      </x:c>
      <x:c r="R32" s="46" t="str">
        <x:v>Aethelwood collectible</x:v>
      </x:c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6" t="str">
        <x:v>MEM-MON-001</x:v>
      </x:c>
      <x:c r="B33" s="46" t="str">
        <x:v>Chipped Masonry Rune</x:v>
      </x:c>
      <x:c r="C33" s="46" t="str">
        <x:v>Memento</x:v>
      </x:c>
      <x:c r="D33" s="46" t="str">
        <x:v>Realm Collectible</x:v>
      </x:c>
      <x:c r="E33" s="46" t="str">
        <x:v>Collect</x:v>
      </x:c>
      <x:c r="F33" s="46" t="str">
        <x:v>Display collectible</x:v>
      </x:c>
      <x:c r="G33" s="46" t="str">
        <x:v>Found near Monolith of Masonry</x:v>
      </x:c>
      <x:c r="H33" s="46" t="str">
        <x:v>Exploration find</x:v>
      </x:c>
      <x:c r="I33" s="46" t="str">
        <x:v>Act III</x:v>
      </x:c>
      <x:c r="J33" s="46" t="str">
        <x:v>Find</x:v>
      </x:c>
      <x:c r="K33" s="46" t="str">
        <x:v>No</x:v>
      </x:c>
      <x:c r="L33" s="46" t="str">
        <x:v>No</x:v>
      </x:c>
      <x:c r="M33" s="46" t="str">
        <x:v>Yes</x:v>
      </x:c>
      <x:c r="N33" s="46" t="str">
        <x:v>Stone rune icon</x:v>
      </x:c>
      <x:c r="O33" s="46" t="str">
        <x:v>journal_memento_grid</x:v>
      </x:c>
      <x:c r="P33" s="46" t="str">
        <x:v>Planned</x:v>
      </x:c>
      <x:c r="Q33" s="46" t="str">
        <x:v>Low</x:v>
      </x:c>
      <x:c r="R33" s="46" t="str">
        <x:v>Architecture collectible</x:v>
      </x:c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6" t="str">
        <x:v>MEM-CHR-001</x:v>
      </x:c>
      <x:c r="B34" s="46" t="str">
        <x:v>Chronicler's Ribbon</x:v>
      </x:c>
      <x:c r="C34" s="46" t="str">
        <x:v>Memento</x:v>
      </x:c>
      <x:c r="D34" s="46" t="str">
        <x:v>Realm Collectible</x:v>
      </x:c>
      <x:c r="E34" s="46" t="str">
        <x:v>Collect</x:v>
      </x:c>
      <x:c r="F34" s="46" t="str">
        <x:v>Display collectible</x:v>
      </x:c>
      <x:c r="G34" s="46" t="str">
        <x:v>Found near Chronicler's Spire</x:v>
      </x:c>
      <x:c r="H34" s="46" t="str">
        <x:v>Exploration find</x:v>
      </x:c>
      <x:c r="I34" s="46" t="str">
        <x:v>Act III</x:v>
      </x:c>
      <x:c r="J34" s="46" t="str">
        <x:v>Find</x:v>
      </x:c>
      <x:c r="K34" s="46" t="str">
        <x:v>No</x:v>
      </x:c>
      <x:c r="L34" s="46" t="str">
        <x:v>No</x:v>
      </x:c>
      <x:c r="M34" s="46" t="str">
        <x:v>Yes</x:v>
      </x:c>
      <x:c r="N34" s="46" t="str">
        <x:v>Ribbon icon</x:v>
      </x:c>
      <x:c r="O34" s="46" t="str">
        <x:v>journal_memento_grid</x:v>
      </x:c>
      <x:c r="P34" s="46" t="str">
        <x:v>Planned</x:v>
      </x:c>
      <x:c r="Q34" s="46" t="str">
        <x:v>Low</x:v>
      </x:c>
      <x:c r="R34" s="46" t="str">
        <x:v>Arts collectible</x:v>
      </x:c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6" t="str">
        <x:v>MEM-MER-001</x:v>
      </x:c>
      <x:c r="B35" s="46" t="str">
        <x:v>Merchant Seal</x:v>
      </x:c>
      <x:c r="C35" s="46" t="str">
        <x:v>Memento</x:v>
      </x:c>
      <x:c r="D35" s="46" t="str">
        <x:v>Realm Collectible</x:v>
      </x:c>
      <x:c r="E35" s="46" t="str">
        <x:v>Collect</x:v>
      </x:c>
      <x:c r="F35" s="46" t="str">
        <x:v>Display collectible</x:v>
      </x:c>
      <x:c r="G35" s="46" t="str">
        <x:v>Found near Mercantile's Citadel</x:v>
      </x:c>
      <x:c r="H35" s="46" t="str">
        <x:v>Exploration find</x:v>
      </x:c>
      <x:c r="I35" s="46" t="str">
        <x:v>Act III</x:v>
      </x:c>
      <x:c r="J35" s="46" t="str">
        <x:v>Find</x:v>
      </x:c>
      <x:c r="K35" s="46" t="str">
        <x:v>No</x:v>
      </x:c>
      <x:c r="L35" s="46" t="str">
        <x:v>No</x:v>
      </x:c>
      <x:c r="M35" s="46" t="str">
        <x:v>Yes</x:v>
      </x:c>
      <x:c r="N35" s="46" t="str">
        <x:v>Wax seal icon</x:v>
      </x:c>
      <x:c r="O35" s="46" t="str">
        <x:v>journal_memento_grid</x:v>
      </x:c>
      <x:c r="P35" s="46" t="str">
        <x:v>Planned</x:v>
      </x:c>
      <x:c r="Q35" s="46" t="str">
        <x:v>Low</x:v>
      </x:c>
      <x:c r="R35" s="46" t="str">
        <x:v>Business collectible</x:v>
      </x:c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6" t="str">
        <x:v>MEM-ARC-001</x:v>
      </x:c>
      <x:c r="B36" s="46" t="str">
        <x:v>Library Bookmark</x:v>
      </x:c>
      <x:c r="C36" s="46" t="str">
        <x:v>Memento</x:v>
      </x:c>
      <x:c r="D36" s="46" t="str">
        <x:v>Realm Collectible</x:v>
      </x:c>
      <x:c r="E36" s="46" t="str">
        <x:v>Collect</x:v>
      </x:c>
      <x:c r="F36" s="46" t="str">
        <x:v>Display collectible</x:v>
      </x:c>
      <x:c r="G36" s="46" t="str">
        <x:v>Found near Archives of Ascension</x:v>
      </x:c>
      <x:c r="H36" s="46" t="str">
        <x:v>Exploration find</x:v>
      </x:c>
      <x:c r="I36" s="46" t="str">
        <x:v>Act III</x:v>
      </x:c>
      <x:c r="J36" s="46" t="str">
        <x:v>Find</x:v>
      </x:c>
      <x:c r="K36" s="46" t="str">
        <x:v>No</x:v>
      </x:c>
      <x:c r="L36" s="46" t="str">
        <x:v>No</x:v>
      </x:c>
      <x:c r="M36" s="46" t="str">
        <x:v>Yes</x:v>
      </x:c>
      <x:c r="N36" s="46" t="str">
        <x:v>Bookmark icon</x:v>
      </x:c>
      <x:c r="O36" s="46" t="str">
        <x:v>journal_memento_grid</x:v>
      </x:c>
      <x:c r="P36" s="46" t="str">
        <x:v>Planned</x:v>
      </x:c>
      <x:c r="Q36" s="46" t="str">
        <x:v>Low</x:v>
      </x:c>
      <x:c r="R36" s="46" t="str">
        <x:v>Education collectible</x:v>
      </x:c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6" t="str">
        <x:v>MEM-GIL-001</x:v>
      </x:c>
      <x:c r="B37" s="46" t="str">
        <x:v>Vault Coin Impression</x:v>
      </x:c>
      <x:c r="C37" s="46" t="str">
        <x:v>Memento</x:v>
      </x:c>
      <x:c r="D37" s="46" t="str">
        <x:v>Realm Collectible</x:v>
      </x:c>
      <x:c r="E37" s="46" t="str">
        <x:v>Collect</x:v>
      </x:c>
      <x:c r="F37" s="46" t="str">
        <x:v>Display collectible</x:v>
      </x:c>
      <x:c r="G37" s="46" t="str">
        <x:v>Found near Gilded Vault</x:v>
      </x:c>
      <x:c r="H37" s="46" t="str">
        <x:v>Exploration find</x:v>
      </x:c>
      <x:c r="I37" s="46" t="str">
        <x:v>Act III</x:v>
      </x:c>
      <x:c r="J37" s="46" t="str">
        <x:v>Find</x:v>
      </x:c>
      <x:c r="K37" s="46" t="str">
        <x:v>No</x:v>
      </x:c>
      <x:c r="L37" s="46" t="str">
        <x:v>No</x:v>
      </x:c>
      <x:c r="M37" s="46" t="str">
        <x:v>Yes</x:v>
      </x:c>
      <x:c r="N37" s="46" t="str">
        <x:v>Coin imprint icon</x:v>
      </x:c>
      <x:c r="O37" s="46" t="str">
        <x:v>journal_memento_grid</x:v>
      </x:c>
      <x:c r="P37" s="46" t="str">
        <x:v>Planned</x:v>
      </x:c>
      <x:c r="Q37" s="46" t="str">
        <x:v>Low</x:v>
      </x:c>
      <x:c r="R37" s="46" t="str">
        <x:v>Finance collectible; not spendable coin</x:v>
      </x:c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6" t="str">
        <x:v>MEM-HIG-001</x:v>
      </x:c>
      <x:c r="B38" s="46" t="str">
        <x:v>Council Wax Seal</x:v>
      </x:c>
      <x:c r="C38" s="46" t="str">
        <x:v>Memento</x:v>
      </x:c>
      <x:c r="D38" s="46" t="str">
        <x:v>Realm Collectible</x:v>
      </x:c>
      <x:c r="E38" s="46" t="str">
        <x:v>Collect</x:v>
      </x:c>
      <x:c r="F38" s="46" t="str">
        <x:v>Display collectible</x:v>
      </x:c>
      <x:c r="G38" s="46" t="str">
        <x:v>Found near High Council Hall</x:v>
      </x:c>
      <x:c r="H38" s="46" t="str">
        <x:v>Exploration find</x:v>
      </x:c>
      <x:c r="I38" s="46" t="str">
        <x:v>Act III</x:v>
      </x:c>
      <x:c r="J38" s="46" t="str">
        <x:v>Find</x:v>
      </x:c>
      <x:c r="K38" s="46" t="str">
        <x:v>No</x:v>
      </x:c>
      <x:c r="L38" s="46" t="str">
        <x:v>No</x:v>
      </x:c>
      <x:c r="M38" s="46" t="str">
        <x:v>Yes</x:v>
      </x:c>
      <x:c r="N38" s="46" t="str">
        <x:v>Wax seal icon</x:v>
      </x:c>
      <x:c r="O38" s="46" t="str">
        <x:v>journal_memento_grid</x:v>
      </x:c>
      <x:c r="P38" s="46" t="str">
        <x:v>Planned</x:v>
      </x:c>
      <x:c r="Q38" s="46" t="str">
        <x:v>Low</x:v>
      </x:c>
      <x:c r="R38" s="46" t="str">
        <x:v>Government collectible</x:v>
      </x:c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6" t="str">
        <x:v>MEM-AUR-001</x:v>
      </x:c>
      <x:c r="B39" s="46" t="str">
        <x:v>Apothecary Herb Tag</x:v>
      </x:c>
      <x:c r="C39" s="46" t="str">
        <x:v>Memento</x:v>
      </x:c>
      <x:c r="D39" s="46" t="str">
        <x:v>Realm Collectible</x:v>
      </x:c>
      <x:c r="E39" s="46" t="str">
        <x:v>Collect</x:v>
      </x:c>
      <x:c r="F39" s="46" t="str">
        <x:v>Display collectible</x:v>
      </x:c>
      <x:c r="G39" s="46" t="str">
        <x:v>Found near Aurora Apothecary</x:v>
      </x:c>
      <x:c r="H39" s="46" t="str">
        <x:v>Exploration find</x:v>
      </x:c>
      <x:c r="I39" s="46" t="str">
        <x:v>Act III</x:v>
      </x:c>
      <x:c r="J39" s="46" t="str">
        <x:v>Find</x:v>
      </x:c>
      <x:c r="K39" s="46" t="str">
        <x:v>No</x:v>
      </x:c>
      <x:c r="L39" s="46" t="str">
        <x:v>No</x:v>
      </x:c>
      <x:c r="M39" s="46" t="str">
        <x:v>Yes</x:v>
      </x:c>
      <x:c r="N39" s="46" t="str">
        <x:v>Herb tag icon</x:v>
      </x:c>
      <x:c r="O39" s="46" t="str">
        <x:v>journal_memento_grid</x:v>
      </x:c>
      <x:c r="P39" s="46" t="str">
        <x:v>Planned</x:v>
      </x:c>
      <x:c r="Q39" s="46" t="str">
        <x:v>Low</x:v>
      </x:c>
      <x:c r="R39" s="46" t="str">
        <x:v>Health Science collectible</x:v>
      </x:c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6" t="str">
        <x:v>MEM-CRO-001</x:v>
      </x:c>
      <x:c r="B40" s="46" t="str">
        <x:v>Crossroads Ticket Stub</x:v>
      </x:c>
      <x:c r="C40" s="46" t="str">
        <x:v>Memento</x:v>
      </x:c>
      <x:c r="D40" s="46" t="str">
        <x:v>Realm Collectible</x:v>
      </x:c>
      <x:c r="E40" s="46" t="str">
        <x:v>Collect</x:v>
      </x:c>
      <x:c r="F40" s="46" t="str">
        <x:v>Display collectible</x:v>
      </x:c>
      <x:c r="G40" s="46" t="str">
        <x:v>Found near Crossroads Haven</x:v>
      </x:c>
      <x:c r="H40" s="46" t="str">
        <x:v>Exploration find</x:v>
      </x:c>
      <x:c r="I40" s="46" t="str">
        <x:v>Act III</x:v>
      </x:c>
      <x:c r="J40" s="46" t="str">
        <x:v>Find</x:v>
      </x:c>
      <x:c r="K40" s="46" t="str">
        <x:v>No</x:v>
      </x:c>
      <x:c r="L40" s="46" t="str">
        <x:v>No</x:v>
      </x:c>
      <x:c r="M40" s="46" t="str">
        <x:v>Yes</x:v>
      </x:c>
      <x:c r="N40" s="46" t="str">
        <x:v>Ticket icon</x:v>
      </x:c>
      <x:c r="O40" s="46" t="str">
        <x:v>journal_memento_grid</x:v>
      </x:c>
      <x:c r="P40" s="46" t="str">
        <x:v>Planned</x:v>
      </x:c>
      <x:c r="Q40" s="46" t="str">
        <x:v>Low</x:v>
      </x:c>
      <x:c r="R40" s="46" t="str">
        <x:v>Hospitality collectible</x:v>
      </x:c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6" t="str">
        <x:v>MEM-EMP-001</x:v>
      </x:c>
      <x:c r="B41" s="46" t="str">
        <x:v>Empath's Thread</x:v>
      </x:c>
      <x:c r="C41" s="46" t="str">
        <x:v>Memento</x:v>
      </x:c>
      <x:c r="D41" s="46" t="str">
        <x:v>Realm Collectible</x:v>
      </x:c>
      <x:c r="E41" s="46" t="str">
        <x:v>Collect</x:v>
      </x:c>
      <x:c r="F41" s="46" t="str">
        <x:v>Display collectible</x:v>
      </x:c>
      <x:c r="G41" s="46" t="str">
        <x:v>Found near Empath's Enclave</x:v>
      </x:c>
      <x:c r="H41" s="46" t="str">
        <x:v>Exploration find</x:v>
      </x:c>
      <x:c r="I41" s="46" t="str">
        <x:v>Act III</x:v>
      </x:c>
      <x:c r="J41" s="46" t="str">
        <x:v>Find</x:v>
      </x:c>
      <x:c r="K41" s="46" t="str">
        <x:v>No</x:v>
      </x:c>
      <x:c r="L41" s="46" t="str">
        <x:v>No</x:v>
      </x:c>
      <x:c r="M41" s="46" t="str">
        <x:v>Yes</x:v>
      </x:c>
      <x:c r="N41" s="46" t="str">
        <x:v>Thread icon</x:v>
      </x:c>
      <x:c r="O41" s="46" t="str">
        <x:v>journal_memento_grid</x:v>
      </x:c>
      <x:c r="P41" s="46" t="str">
        <x:v>Planned</x:v>
      </x:c>
      <x:c r="Q41" s="46" t="str">
        <x:v>Low</x:v>
      </x:c>
      <x:c r="R41" s="46" t="str">
        <x:v>Human Services collectible</x:v>
      </x:c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6" t="str">
        <x:v>MEM-ETH-001</x:v>
      </x:c>
      <x:c r="B42" s="46" t="str">
        <x:v>Etheric Circuit Shard</x:v>
      </x:c>
      <x:c r="C42" s="46" t="str">
        <x:v>Memento</x:v>
      </x:c>
      <x:c r="D42" s="46" t="str">
        <x:v>Realm Collectible</x:v>
      </x:c>
      <x:c r="E42" s="46" t="str">
        <x:v>Collect</x:v>
      </x:c>
      <x:c r="F42" s="46" t="str">
        <x:v>Display collectible</x:v>
      </x:c>
      <x:c r="G42" s="46" t="str">
        <x:v>Found near Etheric Nexus</x:v>
      </x:c>
      <x:c r="H42" s="46" t="str">
        <x:v>Exploration find</x:v>
      </x:c>
      <x:c r="I42" s="46" t="str">
        <x:v>Act III</x:v>
      </x:c>
      <x:c r="J42" s="46" t="str">
        <x:v>Find</x:v>
      </x:c>
      <x:c r="K42" s="46" t="str">
        <x:v>No</x:v>
      </x:c>
      <x:c r="L42" s="46" t="str">
        <x:v>No</x:v>
      </x:c>
      <x:c r="M42" s="46" t="str">
        <x:v>Yes</x:v>
      </x:c>
      <x:c r="N42" s="46" t="str">
        <x:v>Circuit shard icon</x:v>
      </x:c>
      <x:c r="O42" s="46" t="str">
        <x:v>journal_memento_grid</x:v>
      </x:c>
      <x:c r="P42" s="46" t="str">
        <x:v>Planned</x:v>
      </x:c>
      <x:c r="Q42" s="46" t="str">
        <x:v>Low</x:v>
      </x:c>
      <x:c r="R42" s="46" t="str">
        <x:v>IT collectible</x:v>
      </x:c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6" t="str">
        <x:v>MEM-VAL-001</x:v>
      </x:c>
      <x:c r="B43" s="46" t="str">
        <x:v>Watchtower Badge Fragment</x:v>
      </x:c>
      <x:c r="C43" s="46" t="str">
        <x:v>Memento</x:v>
      </x:c>
      <x:c r="D43" s="46" t="str">
        <x:v>Realm Collectible</x:v>
      </x:c>
      <x:c r="E43" s="46" t="str">
        <x:v>Collect</x:v>
      </x:c>
      <x:c r="F43" s="46" t="str">
        <x:v>Display collectible</x:v>
      </x:c>
      <x:c r="G43" s="46" t="str">
        <x:v>Found near Valor's Watchtower</x:v>
      </x:c>
      <x:c r="H43" s="46" t="str">
        <x:v>Exploration find</x:v>
      </x:c>
      <x:c r="I43" s="46" t="str">
        <x:v>Act III</x:v>
      </x:c>
      <x:c r="J43" s="46" t="str">
        <x:v>Find</x:v>
      </x:c>
      <x:c r="K43" s="46" t="str">
        <x:v>No</x:v>
      </x:c>
      <x:c r="L43" s="46" t="str">
        <x:v>No</x:v>
      </x:c>
      <x:c r="M43" s="46" t="str">
        <x:v>Yes</x:v>
      </x:c>
      <x:c r="N43" s="46" t="str">
        <x:v>Badge fragment icon</x:v>
      </x:c>
      <x:c r="O43" s="46" t="str">
        <x:v>journal_memento_grid</x:v>
      </x:c>
      <x:c r="P43" s="46" t="str">
        <x:v>Planned</x:v>
      </x:c>
      <x:c r="Q43" s="46" t="str">
        <x:v>Low</x:v>
      </x:c>
      <x:c r="R43" s="46" t="str">
        <x:v>Law/Public Safety collectible</x:v>
      </x:c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6" t="str">
        <x:v>MEM-VUL-001</x:v>
      </x:c>
      <x:c r="B44" s="46" t="str">
        <x:v>Forge Cinder</x:v>
      </x:c>
      <x:c r="C44" s="46" t="str">
        <x:v>Memento</x:v>
      </x:c>
      <x:c r="D44" s="46" t="str">
        <x:v>Realm Collectible</x:v>
      </x:c>
      <x:c r="E44" s="46" t="str">
        <x:v>Collect</x:v>
      </x:c>
      <x:c r="F44" s="46" t="str">
        <x:v>Display collectible</x:v>
      </x:c>
      <x:c r="G44" s="46" t="str">
        <x:v>Found near Vulcanis Forge</x:v>
      </x:c>
      <x:c r="H44" s="46" t="str">
        <x:v>Exploration find</x:v>
      </x:c>
      <x:c r="I44" s="46" t="str">
        <x:v>Act III</x:v>
      </x:c>
      <x:c r="J44" s="46" t="str">
        <x:v>Find</x:v>
      </x:c>
      <x:c r="K44" s="46" t="str">
        <x:v>No</x:v>
      </x:c>
      <x:c r="L44" s="46" t="str">
        <x:v>No</x:v>
      </x:c>
      <x:c r="M44" s="46" t="str">
        <x:v>Yes</x:v>
      </x:c>
      <x:c r="N44" s="46" t="str">
        <x:v>Cinder icon</x:v>
      </x:c>
      <x:c r="O44" s="46" t="str">
        <x:v>journal_memento_grid</x:v>
      </x:c>
      <x:c r="P44" s="46" t="str">
        <x:v>Planned</x:v>
      </x:c>
      <x:c r="Q44" s="46" t="str">
        <x:v>Low</x:v>
      </x:c>
      <x:c r="R44" s="46" t="str">
        <x:v>Manufacturing collectible</x:v>
      </x:c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6" t="str">
        <x:v>MEM-BAR-001</x:v>
      </x:c>
      <x:c r="B45" s="46" t="str">
        <x:v>Bard's Beacon Ticket Stub</x:v>
      </x:c>
      <x:c r="C45" s="46" t="str">
        <x:v>Memento</x:v>
      </x:c>
      <x:c r="D45" s="46" t="str">
        <x:v>Realm Collectible</x:v>
      </x:c>
      <x:c r="E45" s="46" t="str">
        <x:v>Collect</x:v>
      </x:c>
      <x:c r="F45" s="46" t="str">
        <x:v>Display collectible</x:v>
      </x:c>
      <x:c r="G45" s="46" t="str">
        <x:v>Found near Bard's Beacon</x:v>
      </x:c>
      <x:c r="H45" s="46" t="str">
        <x:v>Exploration find</x:v>
      </x:c>
      <x:c r="I45" s="46" t="str">
        <x:v>Act III</x:v>
      </x:c>
      <x:c r="J45" s="46" t="str">
        <x:v>Find</x:v>
      </x:c>
      <x:c r="K45" s="46" t="str">
        <x:v>No</x:v>
      </x:c>
      <x:c r="L45" s="46" t="str">
        <x:v>No</x:v>
      </x:c>
      <x:c r="M45" s="46" t="str">
        <x:v>Yes</x:v>
      </x:c>
      <x:c r="N45" s="46" t="str">
        <x:v>Beacon ticket icon</x:v>
      </x:c>
      <x:c r="O45" s="46" t="str">
        <x:v>journal_memento_grid</x:v>
      </x:c>
      <x:c r="P45" s="46" t="str">
        <x:v>Planned</x:v>
      </x:c>
      <x:c r="Q45" s="46" t="str">
        <x:v>Low</x:v>
      </x:c>
      <x:c r="R45" s="46" t="str">
        <x:v>Marketing collectible</x:v>
      </x:c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6" t="str">
        <x:v>MEM-ALC-001</x:v>
      </x:c>
      <x:c r="B46" s="46" t="str">
        <x:v>Star Chart Scrap</x:v>
      </x:c>
      <x:c r="C46" s="46" t="str">
        <x:v>Memento</x:v>
      </x:c>
      <x:c r="D46" s="46" t="str">
        <x:v>Realm Collectible</x:v>
      </x:c>
      <x:c r="E46" s="46" t="str">
        <x:v>Collect</x:v>
      </x:c>
      <x:c r="F46" s="46" t="str">
        <x:v>Display collectible</x:v>
      </x:c>
      <x:c r="G46" s="46" t="str">
        <x:v>Found near Alchemical Observatory</x:v>
      </x:c>
      <x:c r="H46" s="46" t="str">
        <x:v>Exploration find</x:v>
      </x:c>
      <x:c r="I46" s="46" t="str">
        <x:v>Act III</x:v>
      </x:c>
      <x:c r="J46" s="46" t="str">
        <x:v>Find</x:v>
      </x:c>
      <x:c r="K46" s="46" t="str">
        <x:v>No</x:v>
      </x:c>
      <x:c r="L46" s="46" t="str">
        <x:v>No</x:v>
      </x:c>
      <x:c r="M46" s="46" t="str">
        <x:v>Yes</x:v>
      </x:c>
      <x:c r="N46" s="46" t="str">
        <x:v>Star chart icon</x:v>
      </x:c>
      <x:c r="O46" s="46" t="str">
        <x:v>journal_memento_grid</x:v>
      </x:c>
      <x:c r="P46" s="46" t="str">
        <x:v>Planned</x:v>
      </x:c>
      <x:c r="Q46" s="46" t="str">
        <x:v>Low</x:v>
      </x:c>
      <x:c r="R46" s="46" t="str">
        <x:v>STEM collectible</x:v>
      </x:c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6" t="str">
        <x:v>MEM-ODY-001</x:v>
      </x:c>
      <x:c r="B47" s="46" t="str">
        <x:v>Harbor Shell</x:v>
      </x:c>
      <x:c r="C47" s="46" t="str">
        <x:v>Memento</x:v>
      </x:c>
      <x:c r="D47" s="46" t="str">
        <x:v>Realm Collectible</x:v>
      </x:c>
      <x:c r="E47" s="46" t="str">
        <x:v>Collect</x:v>
      </x:c>
      <x:c r="F47" s="46" t="str">
        <x:v>Display collectible</x:v>
      </x:c>
      <x:c r="G47" s="46" t="str">
        <x:v>Found near Odyssey's Harbor</x:v>
      </x:c>
      <x:c r="H47" s="46" t="str">
        <x:v>Exploration find</x:v>
      </x:c>
      <x:c r="I47" s="46" t="str">
        <x:v>Act III</x:v>
      </x:c>
      <x:c r="J47" s="46" t="str">
        <x:v>Find</x:v>
      </x:c>
      <x:c r="K47" s="46" t="str">
        <x:v>No</x:v>
      </x:c>
      <x:c r="L47" s="46" t="str">
        <x:v>No</x:v>
      </x:c>
      <x:c r="M47" s="46" t="str">
        <x:v>Yes</x:v>
      </x:c>
      <x:c r="N47" s="46" t="str">
        <x:v>Shell icon</x:v>
      </x:c>
      <x:c r="O47" s="46" t="str">
        <x:v>journal_memento_grid</x:v>
      </x:c>
      <x:c r="P47" s="46" t="str">
        <x:v>Planned</x:v>
      </x:c>
      <x:c r="Q47" s="46" t="str">
        <x:v>Low</x:v>
      </x:c>
      <x:c r="R47" s="46" t="str">
        <x:v>Transportation collectible</x:v>
      </x:c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6" t="str">
        <x:v>COS-TIT-001</x:v>
      </x:c>
      <x:c r="B48" s="46" t="str">
        <x:v>Traveler Title</x:v>
      </x:c>
      <x:c r="C48" s="46" t="str">
        <x:v>Cosmetic</x:v>
      </x:c>
      <x:c r="D48" s="46" t="str">
        <x:v>Profile Title</x:v>
      </x:c>
      <x:c r="E48" s="46" t="str">
        <x:v>Express</x:v>
      </x:c>
      <x:c r="F48" s="46" t="str">
        <x:v>Display earned title</x:v>
      </x:c>
      <x:c r="G48" s="46" t="str">
        <x:v>Title shown on Manifest/Journal</x:v>
      </x:c>
      <x:c r="H48" s="46" t="str">
        <x:v>Quest/milestone reward</x:v>
      </x:c>
      <x:c r="I48" s="46" t="str">
        <x:v>Act I+</x:v>
      </x:c>
      <x:c r="J48" s="46" t="str">
        <x:v>Reward</x:v>
      </x:c>
      <x:c r="K48" s="46" t="str">
        <x:v>No</x:v>
      </x:c>
      <x:c r="L48" s="46" t="str">
        <x:v>No</x:v>
      </x:c>
      <x:c r="M48" s="46" t="str">
        <x:v>Yes</x:v>
      </x:c>
      <x:c r="N48" s="46" t="str">
        <x:v>Text only</x:v>
      </x:c>
      <x:c r="O48" s="46" t="str">
        <x:v>profile_title_field</x:v>
      </x:c>
      <x:c r="P48" s="46" t="str">
        <x:v>Approved</x:v>
      </x:c>
      <x:c r="Q48" s="46" t="str">
        <x:v>High</x:v>
      </x:c>
      <x:c r="R48" s="46" t="str">
        <x:v>Low-cost cosmetic; do first</x:v>
      </x:c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6" t="str">
        <x:v>COS-BAD-001</x:v>
      </x:c>
      <x:c r="B49" s="46" t="str">
        <x:v>Journal Badge</x:v>
      </x:c>
      <x:c r="C49" s="46" t="str">
        <x:v>Cosmetic</x:v>
      </x:c>
      <x:c r="D49" s="46" t="str">
        <x:v>Badge</x:v>
      </x:c>
      <x:c r="E49" s="46" t="str">
        <x:v>Express</x:v>
      </x:c>
      <x:c r="F49" s="46" t="str">
        <x:v>Display badge icon</x:v>
      </x:c>
      <x:c r="G49" s="46" t="str">
        <x:v>Badge shown in Field Journal</x:v>
      </x:c>
      <x:c r="H49" s="46" t="str">
        <x:v>Realm/quest reward</x:v>
      </x:c>
      <x:c r="I49" s="46" t="str">
        <x:v>Act II+</x:v>
      </x:c>
      <x:c r="J49" s="46" t="str">
        <x:v>Reward</x:v>
      </x:c>
      <x:c r="K49" s="46" t="str">
        <x:v>No</x:v>
      </x:c>
      <x:c r="L49" s="46" t="str">
        <x:v>No</x:v>
      </x:c>
      <x:c r="M49" s="46" t="str">
        <x:v>Yes</x:v>
      </x:c>
      <x:c r="N49" s="46" t="str">
        <x:v>Badge icons</x:v>
      </x:c>
      <x:c r="O49" s="46" t="str">
        <x:v>journal_badge_grid</x:v>
      </x:c>
      <x:c r="P49" s="46" t="str">
        <x:v>Approved</x:v>
      </x:c>
      <x:c r="Q49" s="46" t="str">
        <x:v>High</x:v>
      </x:c>
      <x:c r="R49" s="46" t="str">
        <x:v>Low-cost; no tilework</x:v>
      </x:c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6" t="str">
        <x:v>COS-MAR-001</x:v>
      </x:c>
      <x:c r="B50" s="46" t="str">
        <x:v>Trail Marker Style</x:v>
      </x:c>
      <x:c r="C50" s="46" t="str">
        <x:v>Cosmetic</x:v>
      </x:c>
      <x:c r="D50" s="46" t="str">
        <x:v>Marker Skin</x:v>
      </x:c>
      <x:c r="E50" s="46" t="str">
        <x:v>Express</x:v>
      </x:c>
      <x:c r="F50" s="46" t="str">
        <x:v>Change marker icon</x:v>
      </x:c>
      <x:c r="G50" s="46" t="str">
        <x:v>Alternate trail marker appearance</x:v>
      </x:c>
      <x:c r="H50" s="46" t="str">
        <x:v>Memento/quest reward</x:v>
      </x:c>
      <x:c r="I50" s="46" t="str">
        <x:v>Act III+</x:v>
      </x:c>
      <x:c r="J50" s="46" t="str">
        <x:v>Reward</x:v>
      </x:c>
      <x:c r="K50" s="46" t="str">
        <x:v>No</x:v>
      </x:c>
      <x:c r="L50" s="46" t="str">
        <x:v>Yes</x:v>
      </x:c>
      <x:c r="M50" s="46" t="str">
        <x:v>Yes</x:v>
      </x:c>
      <x:c r="N50" s="46" t="str">
        <x:v>Marker icon variants</x:v>
      </x:c>
      <x:c r="O50" s="46" t="str">
        <x:v>trail_marker_skin</x:v>
      </x:c>
      <x:c r="P50" s="46" t="str">
        <x:v>Planned</x:v>
      </x:c>
      <x:c r="Q50" s="46" t="str">
        <x:v>Medium</x:v>
      </x:c>
      <x:c r="R50" s="46" t="str">
        <x:v>Small UI/world sprite swap</x:v>
      </x:c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6" t="str">
        <x:v>COS-CAM-001</x:v>
      </x:c>
      <x:c r="B51" s="46" t="str">
        <x:v>Campfire Flame Color</x:v>
      </x:c>
      <x:c r="C51" s="46" t="str">
        <x:v>Cosmetic</x:v>
      </x:c>
      <x:c r="D51" s="46" t="str">
        <x:v>Camp Style</x:v>
      </x:c>
      <x:c r="E51" s="46" t="str">
        <x:v>Express</x:v>
      </x:c>
      <x:c r="F51" s="46" t="str">
        <x:v>Tint campfire effect</x:v>
      </x:c>
      <x:c r="G51" s="46" t="str">
        <x:v>Visual variant during Make Camp</x:v>
      </x:c>
      <x:c r="H51" s="46" t="str">
        <x:v>Reflection streak/reward</x:v>
      </x:c>
      <x:c r="I51" s="46" t="str">
        <x:v>Act III+</x:v>
      </x:c>
      <x:c r="J51" s="46" t="str">
        <x:v>Reward</x:v>
      </x:c>
      <x:c r="K51" s="46" t="str">
        <x:v>No</x:v>
      </x:c>
      <x:c r="L51" s="46" t="str">
        <x:v>No</x:v>
      </x:c>
      <x:c r="M51" s="46" t="str">
        <x:v>Yes</x:v>
      </x:c>
      <x:c r="N51" s="46" t="str">
        <x:v>Particle/light tint</x:v>
      </x:c>
      <x:c r="O51" s="46" t="str">
        <x:v>campfire_vfx_skin</x:v>
      </x:c>
      <x:c r="P51" s="46" t="str">
        <x:v>Planned</x:v>
      </x:c>
      <x:c r="Q51" s="46" t="str">
        <x:v>Low</x:v>
      </x:c>
      <x:c r="R51" s="46" t="str">
        <x:v>Do after campfire works</x:v>
      </x:c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6" t="str">
        <x:v>COS-CLO-001</x:v>
      </x:c>
      <x:c r="B52" s="46" t="str">
        <x:v>Cloak Trim Color</x:v>
      </x:c>
      <x:c r="C52" s="46" t="str">
        <x:v>Cosmetic</x:v>
      </x:c>
      <x:c r="D52" s="46" t="str">
        <x:v>Sprite Tint</x:v>
      </x:c>
      <x:c r="E52" s="46" t="str">
        <x:v>Express</x:v>
      </x:c>
      <x:c r="F52" s="46" t="str">
        <x:v>Tint cloak accent</x:v>
      </x:c>
      <x:c r="G52" s="46" t="str">
        <x:v>Traveler sprite accent palette</x:v>
      </x:c>
      <x:c r="H52" s="46" t="str">
        <x:v>Milestone reward</x:v>
      </x:c>
      <x:c r="I52" s="46" t="str">
        <x:v>Act III+</x:v>
      </x:c>
      <x:c r="J52" s="46" t="str">
        <x:v>Reward</x:v>
      </x:c>
      <x:c r="K52" s="46" t="str">
        <x:v>No</x:v>
      </x:c>
      <x:c r="L52" s="46" t="str">
        <x:v>No</x:v>
      </x:c>
      <x:c r="M52" s="46" t="str">
        <x:v>Yes</x:v>
      </x:c>
      <x:c r="N52" s="46" t="str">
        <x:v>Sprite tint/palette</x:v>
      </x:c>
      <x:c r="O52" s="46" t="str">
        <x:v>traveler_palette_variant</x:v>
      </x:c>
      <x:c r="P52" s="46" t="str">
        <x:v>Planned</x:v>
      </x:c>
      <x:c r="Q52" s="46" t="str">
        <x:v>Medium</x:v>
      </x:c>
      <x:c r="R52" s="46" t="str">
        <x:v>Avoid tilework; use tint/overlay</x:v>
      </x:c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6" t="str">
        <x:v>COS-BOR-001</x:v>
      </x:c>
      <x:c r="B53" s="46" t="str">
        <x:v>Scroll Border Skin</x:v>
      </x:c>
      <x:c r="C53" s="46" t="str">
        <x:v>Cosmetic</x:v>
      </x:c>
      <x:c r="D53" s="46" t="str">
        <x:v>UI Skin</x:v>
      </x:c>
      <x:c r="E53" s="46" t="str">
        <x:v>Express</x:v>
      </x:c>
      <x:c r="F53" s="46" t="str">
        <x:v>Change Scroll frame</x:v>
      </x:c>
      <x:c r="G53" s="46" t="str">
        <x:v>Manifest/Scroll decoration</x:v>
      </x:c>
      <x:c r="H53" s="46" t="str">
        <x:v>Act completion reward</x:v>
      </x:c>
      <x:c r="I53" s="46" t="str">
        <x:v>Act II+</x:v>
      </x:c>
      <x:c r="J53" s="46" t="str">
        <x:v>Reward</x:v>
      </x:c>
      <x:c r="K53" s="46" t="str">
        <x:v>No</x:v>
      </x:c>
      <x:c r="L53" s="46" t="str">
        <x:v>No</x:v>
      </x:c>
      <x:c r="M53" s="46" t="str">
        <x:v>Yes</x:v>
      </x:c>
      <x:c r="N53" s="46" t="str">
        <x:v>UI border asset</x:v>
      </x:c>
      <x:c r="O53" s="46" t="str">
        <x:v>scroll_border_skin</x:v>
      </x:c>
      <x:c r="P53" s="46" t="str">
        <x:v>Planned</x:v>
      </x:c>
      <x:c r="Q53" s="46" t="str">
        <x:v>Low</x:v>
      </x:c>
      <x:c r="R53" s="46" t="str">
        <x:v>Cheap and visible</x:v>
      </x:c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6" t="str">
        <x:v>VFX-HIT-001</x:v>
      </x:c>
      <x:c r="B54" s="46" t="str">
        <x:v>Hit Spark</x:v>
      </x:c>
      <x:c r="C54" s="46" t="str">
        <x:v>VFX / Environment</x:v>
      </x:c>
      <x:c r="D54" s="46" t="str">
        <x:v>Combat VFX</x:v>
      </x:c>
      <x:c r="E54" s="46" t="str">
        <x:v>Feedback</x:v>
      </x:c>
      <x:c r="F54" s="46" t="str">
        <x:v>Weapon hit feedback</x:v>
      </x:c>
      <x:c r="G54" s="46" t="str">
        <x:v>Appears when weapon attack connects</x:v>
      </x:c>
      <x:c r="H54" s="46" t="str">
        <x:v>System VFX</x:v>
      </x:c>
      <x:c r="I54" s="46" t="str">
        <x:v>Combat baseline</x:v>
      </x:c>
      <x:c r="J54" s="46" t="str">
        <x:v>System</x:v>
      </x:c>
      <x:c r="K54" s="46" t="str">
        <x:v>No</x:v>
      </x:c>
      <x:c r="L54" s="46" t="str">
        <x:v>No</x:v>
      </x:c>
      <x:c r="M54" s="46" t="str">
        <x:v>No</x:v>
      </x:c>
      <x:c r="N54" s="46" t="str">
        <x:v>Animated spark sprite</x:v>
      </x:c>
      <x:c r="O54" s="46" t="str">
        <x:v>on_weapon_hit_vfx</x:v>
      </x:c>
      <x:c r="P54" s="46" t="str">
        <x:v>Approved</x:v>
      </x:c>
      <x:c r="Q54" s="46" t="str">
        <x:v>High</x:v>
      </x:c>
      <x:c r="R54" s="46" t="str">
        <x:v>High game-feel value</x:v>
      </x:c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6" t="str">
        <x:v>VFX-RUN-001</x:v>
      </x:c>
      <x:c r="B55" s="46" t="str">
        <x:v>Dust Puff</x:v>
      </x:c>
      <x:c r="C55" s="46" t="str">
        <x:v>VFX / Environment</x:v>
      </x:c>
      <x:c r="D55" s="46" t="str">
        <x:v>Movement VFX</x:v>
      </x:c>
      <x:c r="E55" s="46" t="str">
        <x:v>Feedback</x:v>
      </x:c>
      <x:c r="F55" s="46" t="str">
        <x:v>Movement feedback</x:v>
      </x:c>
      <x:c r="G55" s="46" t="str">
        <x:v>Appears at start of run / dirt movement</x:v>
      </x:c>
      <x:c r="H55" s="46" t="str">
        <x:v>Surface reaction</x:v>
      </x:c>
      <x:c r="I55" s="46" t="str">
        <x:v>Exploration baseline</x:v>
      </x:c>
      <x:c r="J55" s="46" t="str">
        <x:v>System</x:v>
      </x:c>
      <x:c r="K55" s="46" t="str">
        <x:v>No</x:v>
      </x:c>
      <x:c r="L55" s="46" t="str">
        <x:v>Yes</x:v>
      </x:c>
      <x:c r="M55" s="46" t="str">
        <x:v>No</x:v>
      </x:c>
      <x:c r="N55" s="46" t="str">
        <x:v>Dust puff sprite</x:v>
      </x:c>
      <x:c r="O55" s="46" t="str">
        <x:v>surface_dirt_dust</x:v>
      </x:c>
      <x:c r="P55" s="46" t="str">
        <x:v>Approved</x:v>
      </x:c>
      <x:c r="Q55" s="46" t="str">
        <x:v>High</x:v>
      </x:c>
      <x:c r="R55" s="46" t="str">
        <x:v>Very useful for movement feel</x:v>
      </x:c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6" t="str">
        <x:v>VFX-MAG-001</x:v>
      </x:c>
      <x:c r="B56" s="46" t="str">
        <x:v>Rune Burst</x:v>
      </x:c>
      <x:c r="C56" s="46" t="str">
        <x:v>VFX / Environment</x:v>
      </x:c>
      <x:c r="D56" s="46" t="str">
        <x:v>Combat VFX</x:v>
      </x:c>
      <x:c r="E56" s="46" t="str">
        <x:v>Feedback</x:v>
      </x:c>
      <x:c r="F56" s="46" t="str">
        <x:v>Magic hit feedback</x:v>
      </x:c>
      <x:c r="G56" s="46" t="str">
        <x:v>Appears when spell connects</x:v>
      </x:c>
      <x:c r="H56" s="46" t="str">
        <x:v>System VFX</x:v>
      </x:c>
      <x:c r="I56" s="46" t="str">
        <x:v>Combat baseline</x:v>
      </x:c>
      <x:c r="J56" s="46" t="str">
        <x:v>System</x:v>
      </x:c>
      <x:c r="K56" s="46" t="str">
        <x:v>No</x:v>
      </x:c>
      <x:c r="L56" s="46" t="str">
        <x:v>No</x:v>
      </x:c>
      <x:c r="M56" s="46" t="str">
        <x:v>No</x:v>
      </x:c>
      <x:c r="N56" s="46" t="str">
        <x:v>Rune burst sprite</x:v>
      </x:c>
      <x:c r="O56" s="46" t="str">
        <x:v>on_magic_hit_vfx</x:v>
      </x:c>
      <x:c r="P56" s="46" t="str">
        <x:v>Approved</x:v>
      </x:c>
      <x:c r="Q56" s="46" t="str">
        <x:v>High</x:v>
      </x:c>
      <x:c r="R56" s="46" t="str">
        <x:v>Differentiates magic from weapon hits</x:v>
      </x:c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6" t="str">
        <x:v>VFX-GRA-001</x:v>
      </x:c>
      <x:c r="B57" s="46" t="str">
        <x:v>Grass Rustle</x:v>
      </x:c>
      <x:c r="C57" s="46" t="str">
        <x:v>VFX / Environment</x:v>
      </x:c>
      <x:c r="D57" s="46" t="str">
        <x:v>Vegetation</x:v>
      </x:c>
      <x:c r="E57" s="46" t="str">
        <x:v>React</x:v>
      </x:c>
      <x:c r="F57" s="46" t="str">
        <x:v>Grass movement</x:v>
      </x:c>
      <x:c r="G57" s="46" t="str">
        <x:v>Grass reacts to movement; tune down if brutish</x:v>
      </x:c>
      <x:c r="H57" s="46" t="str">
        <x:v>Tiled reactive layer</x:v>
      </x:c>
      <x:c r="I57" s="46" t="str">
        <x:v>Exploration baseline</x:v>
      </x:c>
      <x:c r="J57" s="46" t="str">
        <x:v>System</x:v>
      </x:c>
      <x:c r="K57" s="46" t="str">
        <x:v>No</x:v>
      </x:c>
      <x:c r="L57" s="46" t="str">
        <x:v>Yes</x:v>
      </x:c>
      <x:c r="M57" s="46" t="str">
        <x:v>No</x:v>
      </x:c>
      <x:c r="N57" s="46" t="str">
        <x:v>Grass rustle frames</x:v>
      </x:c>
      <x:c r="O57" s="46" t="str">
        <x:v>lh_reactive_grass</x:v>
      </x:c>
      <x:c r="P57" s="46" t="str">
        <x:v>In Progress</x:v>
      </x:c>
      <x:c r="Q57" s="46" t="str">
        <x:v>High</x:v>
      </x:c>
      <x:c r="R57" s="46" t="str">
        <x:v>Existing; needs tuning</x:v>
      </x:c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6" t="str">
        <x:v>VFX-CRO-001</x:v>
      </x:c>
      <x:c r="B58" s="46" t="str">
        <x:v>Crop Sway</x:v>
      </x:c>
      <x:c r="C58" s="46" t="str">
        <x:v>VFX / Environment</x:v>
      </x:c>
      <x:c r="D58" s="46" t="str">
        <x:v>Vegetation</x:v>
      </x:c>
      <x:c r="E58" s="46" t="str">
        <x:v>React</x:v>
      </x:c>
      <x:c r="F58" s="46" t="str">
        <x:v>Crop reaction</x:v>
      </x:c>
      <x:c r="G58" s="46" t="str">
        <x:v>Subtle sway when brushed or nearby</x:v>
      </x:c>
      <x:c r="H58" s="46" t="str">
        <x:v>Tiled reactive layer</x:v>
      </x:c>
      <x:c r="I58" s="46" t="str">
        <x:v>Act III map polish</x:v>
      </x:c>
      <x:c r="J58" s="46" t="str">
        <x:v>System</x:v>
      </x:c>
      <x:c r="K58" s="46" t="str">
        <x:v>No</x:v>
      </x:c>
      <x:c r="L58" s="46" t="str">
        <x:v>Yes</x:v>
      </x:c>
      <x:c r="M58" s="46" t="str">
        <x:v>No</x:v>
      </x:c>
      <x:c r="N58" s="46" t="str">
        <x:v>Crop sway frames</x:v>
      </x:c>
      <x:c r="O58" s="46" t="str">
        <x:v>lh_reactive_crop</x:v>
      </x:c>
      <x:c r="P58" s="46" t="str">
        <x:v>Planned</x:v>
      </x:c>
      <x:c r="Q58" s="46" t="str">
        <x:v>Medium</x:v>
      </x:c>
      <x:c r="R58" s="46" t="str">
        <x:v>Less dramatic than grass</x:v>
      </x:c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6" t="str">
        <x:v>VFX-BUS-001</x:v>
      </x:c>
      <x:c r="B59" s="46" t="str">
        <x:v>Bush Shake</x:v>
      </x:c>
      <x:c r="C59" s="46" t="str">
        <x:v>VFX / Environment</x:v>
      </x:c>
      <x:c r="D59" s="46" t="str">
        <x:v>Vegetation</x:v>
      </x:c>
      <x:c r="E59" s="46" t="str">
        <x:v>React</x:v>
      </x:c>
      <x:c r="F59" s="46" t="str">
        <x:v>Bush reaction</x:v>
      </x:c>
      <x:c r="G59" s="46" t="str">
        <x:v>Small shake on contact/interact with cooldown</x:v>
      </x:c>
      <x:c r="H59" s="46" t="str">
        <x:v>Tiled reactive layer</x:v>
      </x:c>
      <x:c r="I59" s="46" t="str">
        <x:v>Act III map polish</x:v>
      </x:c>
      <x:c r="J59" s="46" t="str">
        <x:v>System</x:v>
      </x:c>
      <x:c r="K59" s="46" t="str">
        <x:v>No</x:v>
      </x:c>
      <x:c r="L59" s="46" t="str">
        <x:v>Yes</x:v>
      </x:c>
      <x:c r="M59" s="46" t="str">
        <x:v>No</x:v>
      </x:c>
      <x:c r="N59" s="46" t="str">
        <x:v>Bush shake frames</x:v>
      </x:c>
      <x:c r="O59" s="46" t="str">
        <x:v>lh_reactive_bush</x:v>
      </x:c>
      <x:c r="P59" s="46" t="str">
        <x:v>Planned</x:v>
      </x:c>
      <x:c r="Q59" s="46" t="str">
        <x:v>Medium</x:v>
      </x:c>
      <x:c r="R59" s="46" t="str">
        <x:v>Avoid constant noise</x:v>
      </x:c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6" t="str">
        <x:v>VFX-BUG-001</x:v>
      </x:c>
      <x:c r="B60" s="46" t="str">
        <x:v>Bug Scatter</x:v>
      </x:c>
      <x:c r="C60" s="46" t="str">
        <x:v>VFX / Environment</x:v>
      </x:c>
      <x:c r="D60" s="46" t="str">
        <x:v>Ambient Life</x:v>
      </x:c>
      <x:c r="E60" s="46" t="str">
        <x:v>React</x:v>
      </x:c>
      <x:c r="F60" s="46" t="str">
        <x:v>Ambient life reaction</x:v>
      </x:c>
      <x:c r="G60" s="46" t="str">
        <x:v>Animated bugs scatter when Traveler approaches</x:v>
      </x:c>
      <x:c r="H60" s="46" t="str">
        <x:v>Tiled ambient zone</x:v>
      </x:c>
      <x:c r="I60" s="46" t="str">
        <x:v>Act III map polish</x:v>
      </x:c>
      <x:c r="J60" s="46" t="str">
        <x:v>System</x:v>
      </x:c>
      <x:c r="K60" s="46" t="str">
        <x:v>No</x:v>
      </x:c>
      <x:c r="L60" s="46" t="str">
        <x:v>Yes</x:v>
      </x:c>
      <x:c r="M60" s="46" t="str">
        <x:v>No</x:v>
      </x:c>
      <x:c r="N60" s="46" t="str">
        <x:v>Bug animations</x:v>
      </x:c>
      <x:c r="O60" s="46" t="str">
        <x:v>lh_ambient_bugs</x:v>
      </x:c>
      <x:c r="P60" s="46" t="str">
        <x:v>Planned</x:v>
      </x:c>
      <x:c r="Q60" s="46" t="str">
        <x:v>Medium</x:v>
      </x:c>
      <x:c r="R60" s="46" t="str">
        <x:v>Use existing animated bug assets</x:v>
      </x:c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6" t="str">
        <x:v>VFX-WAT-001</x:v>
      </x:c>
      <x:c r="B61" s="46" t="str">
        <x:v>Water Ripple</x:v>
      </x:c>
      <x:c r="C61" s="46" t="str">
        <x:v>VFX / Environment</x:v>
      </x:c>
      <x:c r="D61" s="46" t="str">
        <x:v>Water</x:v>
      </x:c>
      <x:c r="E61" s="46" t="str">
        <x:v>React</x:v>
      </x:c>
      <x:c r="F61" s="46" t="str">
        <x:v>Water movement</x:v>
      </x:c>
      <x:c r="G61" s="46" t="str">
        <x:v>Ripply feedback / animated water hook</x:v>
      </x:c>
      <x:c r="H61" s="46" t="str">
        <x:v>Water tile/layer</x:v>
      </x:c>
      <x:c r="I61" s="46" t="str">
        <x:v>Act III map polish</x:v>
      </x:c>
      <x:c r="J61" s="46" t="str">
        <x:v>System</x:v>
      </x:c>
      <x:c r="K61" s="46" t="str">
        <x:v>No</x:v>
      </x:c>
      <x:c r="L61" s="46" t="str">
        <x:v>Yes</x:v>
      </x:c>
      <x:c r="M61" s="46" t="str">
        <x:v>No</x:v>
      </x:c>
      <x:c r="N61" s="46" t="str">
        <x:v>Water ripple frames</x:v>
      </x:c>
      <x:c r="O61" s="46" t="str">
        <x:v>lh_water_animated</x:v>
      </x:c>
      <x:c r="P61" s="46" t="str">
        <x:v>Planned</x:v>
      </x:c>
      <x:c r="Q61" s="46" t="str">
        <x:v>Medium</x:v>
      </x:c>
      <x:c r="R61" s="46" t="str">
        <x:v>Use existing water animations</x:v>
      </x:c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6" t="str">
        <x:v>VFX-WIN-001</x:v>
      </x:c>
      <x:c r="B62" s="46" t="str">
        <x:v>Wind Streak / Leaf Drift</x:v>
      </x:c>
      <x:c r="C62" s="46" t="str">
        <x:v>VFX / Environment</x:v>
      </x:c>
      <x:c r="D62" s="46" t="str">
        <x:v>Wind</x:v>
      </x:c>
      <x:c r="E62" s="46" t="str">
        <x:v>React</x:v>
      </x:c>
      <x:c r="F62" s="46" t="str">
        <x:v>Wind feedback</x:v>
      </x:c>
      <x:c r="G62" s="46" t="str">
        <x:v>Light wind interaction / leaf drift</x:v>
      </x:c>
      <x:c r="H62" s="46" t="str">
        <x:v>Tiled wind zone</x:v>
      </x:c>
      <x:c r="I62" s="46" t="str">
        <x:v>Act III map polish</x:v>
      </x:c>
      <x:c r="J62" s="46" t="str">
        <x:v>System</x:v>
      </x:c>
      <x:c r="K62" s="46" t="str">
        <x:v>No</x:v>
      </x:c>
      <x:c r="L62" s="46" t="str">
        <x:v>Yes</x:v>
      </x:c>
      <x:c r="M62" s="46" t="str">
        <x:v>No</x:v>
      </x:c>
      <x:c r="N62" s="46" t="str">
        <x:v>Leaf/wind sprites</x:v>
      </x:c>
      <x:c r="O62" s="46" t="str">
        <x:v>lh_wind_light</x:v>
      </x:c>
      <x:c r="P62" s="46" t="str">
        <x:v>Planned</x:v>
      </x:c>
      <x:c r="Q62" s="46" t="str">
        <x:v>Low</x:v>
      </x:c>
      <x:c r="R62" s="46" t="str">
        <x:v>Works with windmill/wind mood</x:v>
      </x:c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6" t="str">
        <x:v>VFX-CAM-001</x:v>
      </x:c>
      <x:c r="B63" s="46" t="str">
        <x:v>Campfire Sparks</x:v>
      </x:c>
      <x:c r="C63" s="46" t="str">
        <x:v>VFX / Environment</x:v>
      </x:c>
      <x:c r="D63" s="46" t="str">
        <x:v>Save Ceremony</x:v>
      </x:c>
      <x:c r="E63" s="46" t="str">
        <x:v>Rest / Save</x:v>
      </x:c>
      <x:c r="F63" s="46" t="str">
        <x:v>Camp save feedback</x:v>
      </x:c>
      <x:c r="G63" s="46" t="str">
        <x:v>Sparks during Make Camp sequence</x:v>
      </x:c>
      <x:c r="H63" s="46" t="str">
        <x:v>Campfire kit sequence</x:v>
      </x:c>
      <x:c r="I63" s="46" t="str">
        <x:v>Act I+</x:v>
      </x:c>
      <x:c r="J63" s="46" t="str">
        <x:v>System</x:v>
      </x:c>
      <x:c r="K63" s="46" t="str">
        <x:v>No</x:v>
      </x:c>
      <x:c r="L63" s="46" t="str">
        <x:v>No</x:v>
      </x:c>
      <x:c r="M63" s="46" t="str">
        <x:v>No</x:v>
      </x:c>
      <x:c r="N63" s="46" t="str">
        <x:v>Campfire spark sprite</x:v>
      </x:c>
      <x:c r="O63" s="46" t="str">
        <x:v>campfire_save_vfx</x:v>
      </x:c>
      <x:c r="P63" s="46" t="str">
        <x:v>Approved</x:v>
      </x:c>
      <x:c r="Q63" s="46" t="str">
        <x:v>High</x:v>
      </x:c>
      <x:c r="R63" s="46" t="str">
        <x:v>Supports ritual weight</x:v>
      </x:c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conditionalFormatting sqref="Q2:Q63">
    <x:cfRule type="expression" dxfId="0" priority="1">
      <x:formula>$Q2="High"</x:formula>
    </x:cfRule>
  </x:conditionalFormatting>
  <x:conditionalFormatting sqref="P2:P63">
    <x:cfRule type="expression" dxfId="1" priority="2">
      <x:formula>$P2="Approved"</x:formula>
    </x:cfRule>
    <x:cfRule type="expression" dxfId="2" priority="3">
      <x:formula>$P2="Planned"</x:formula>
    </x:cfRule>
    <x:cfRule type="expression" dxfId="3" priority="4">
      <x:formula>$P2="In Progress"</x:formula>
    </x:cfRule>
  </x:conditionalFormatting>
  <x:dataValidations count="5">
    <x:dataValidation type="list" sqref="C2:C63">
      <x:formula1>Lists!$A$2:$A$7</x:formula1>
    </x:dataValidation>
    <x:dataValidation type="list" sqref="E2:E63">
      <x:formula1>Lists!$E$2:$E$26</x:formula1>
    </x:dataValidation>
    <x:dataValidation type="list" sqref="J2:J63">
      <x:formula1>Lists!$D$2:$D$8</x:formula1>
    </x:dataValidation>
    <x:dataValidation type="list" sqref="P2:P63">
      <x:formula1>Lists!$B$2:$B$6</x:formula1>
    </x:dataValidation>
    <x:dataValidation type="list" sqref="Q2:Q63">
      <x:formula1>Lists!$C$2:$C$4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34a6340baa47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20" hidden="0" customWidth="1"/>
  </x:cols>
  <x:sheetData>
    <x:row r="1">
      <x:c r="A1" s="43" t="str">
        <x:v>Verb</x:v>
      </x:c>
      <x:c r="B1" s="43" t="str">
        <x:v>Definition</x:v>
      </x:c>
      <x:c r="C1" s="43" t="str">
        <x:v>Example Items</x:v>
      </x:c>
      <x:c r="D1" s="43" t="str">
        <x:v>System Area</x:v>
      </x:c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6" t="str">
        <x:v>Orient</x:v>
      </x:c>
      <x:c r="B2" s="46" t="str">
        <x:v>Compass/route guidance</x:v>
      </x:c>
      <x:c r="C2" s="46" t="str">
        <x:v>Wayfinder Compass</x:v>
      </x:c>
      <x:c r="D2" s="46" t="str">
        <x:v>Navigation</x:v>
      </x:c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6" t="str">
        <x:v>Illuminate</x:v>
      </x:c>
      <x:c r="B3" s="46" t="str">
        <x:v>Local light radius</x:v>
      </x:c>
      <x:c r="C3" s="46" t="str">
        <x:v>Traveler's Lantern</x:v>
      </x:c>
      <x:c r="D3" s="46" t="str">
        <x:v>Exploration</x:v>
      </x:c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6" t="str">
        <x:v>Remember</x:v>
      </x:c>
      <x:c r="B4" s="46" t="str">
        <x:v>Review work, visits, notes, enemies</x:v>
      </x:c>
      <x:c r="C4" s="46" t="str">
        <x:v>Field Journal</x:v>
      </x:c>
      <x:c r="D4" s="46" t="str">
        <x:v>Journal</x:v>
      </x:c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6" t="str">
        <x:v>Mark</x:v>
      </x:c>
      <x:c r="B5" s="46" t="str">
        <x:v>Drop/route to player marker</x:v>
      </x:c>
      <x:c r="C5" s="46" t="str">
        <x:v>Trail Markers</x:v>
      </x:c>
      <x:c r="D5" s="46" t="str">
        <x:v>Navigation</x:v>
      </x:c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6" t="str">
        <x:v>Rest / Save</x:v>
      </x:c>
      <x:c r="B6" s="46" t="str">
        <x:v>Begin camp/save ceremony</x:v>
      </x:c>
      <x:c r="C6" s="46" t="str">
        <x:v>Campfire Kit</x:v>
      </x:c>
      <x:c r="D6" s="46" t="str">
        <x:v>Save</x:v>
      </x:c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6" t="str">
        <x:v>Heal</x:v>
      </x:c>
      <x:c r="B7" s="46" t="str">
        <x:v>Restore HP or support ally/world object</x:v>
      </x:c>
      <x:c r="C7" s="46" t="str">
        <x:v>Remedy Herb, Remedy Staff</x:v>
      </x:c>
      <x:c r="D7" s="46" t="str">
        <x:v>Combat/Support</x:v>
      </x:c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6" t="str">
        <x:v>Focus</x:v>
      </x:c>
      <x:c r="B8" s="46" t="str">
        <x:v>Boost knowledge battle performance</x:v>
      </x:c>
      <x:c r="C8" s="46" t="str">
        <x:v>Focus Tea</x:v>
      </x:c>
      <x:c r="D8" s="46" t="str">
        <x:v>Knowledge Battle</x:v>
      </x:c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6" t="str">
        <x:v>Empower Weapon</x:v>
      </x:c>
      <x:c r="B9" s="46" t="str">
        <x:v>Buff next weapon attack</x:v>
      </x:c>
      <x:c r="C9" s="46" t="str">
        <x:v>Sharpening Stone</x:v>
      </x:c>
      <x:c r="D9" s="46" t="str">
        <x:v>Combat</x:v>
      </x:c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6" t="str">
        <x:v>Empower Magic</x:v>
      </x:c>
      <x:c r="B10" s="46" t="str">
        <x:v>Buff next magic attack</x:v>
      </x:c>
      <x:c r="C10" s="46" t="str">
        <x:v>Rune Oil</x:v>
      </x:c>
      <x:c r="D10" s="46" t="str">
        <x:v>Combat</x:v>
      </x:c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6" t="str">
        <x:v>Guard</x:v>
      </x:c>
      <x:c r="B11" s="46" t="str">
        <x:v>Reduce/avoid damage</x:v>
      </x:c>
      <x:c r="C11" s="46" t="str">
        <x:v>Guard Charm, Guardian Embrace</x:v>
      </x:c>
      <x:c r="D11" s="46" t="str">
        <x:v>Combat</x:v>
      </x:c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6" t="str">
        <x:v>Cleanse</x:v>
      </x:c>
      <x:c r="B12" s="46" t="str">
        <x:v>Remove negative status</x:v>
      </x:c>
      <x:c r="C12" s="46" t="str">
        <x:v>Clarity Leaf</x:v>
      </x:c>
      <x:c r="D12" s="46" t="str">
        <x:v>Combat/Support</x:v>
      </x:c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6" t="str">
        <x:v>Slash</x:v>
      </x:c>
      <x:c r="B13" s="46" t="str">
        <x:v>Cut/attack with blade or scythe</x:v>
      </x:c>
      <x:c r="C13" s="46" t="str">
        <x:v>Harvest Scythe, Saber, Scimitar, Axe</x:v>
      </x:c>
      <x:c r="D13" s="46" t="str">
        <x:v>Combat/Traversal</x:v>
      </x:c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6" t="str">
        <x:v>Smash</x:v>
      </x:c>
      <x:c r="B14" s="46" t="str">
        <x:v>Break/crush/impact</x:v>
      </x:c>
      <x:c r="C14" s="46" t="str">
        <x:v>Stonebreaker Hammer, Peacekeeper's Mace</x:v>
      </x:c>
      <x:c r="D14" s="46" t="str">
        <x:v>Combat/Traversal</x:v>
      </x:c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6" t="str">
        <x:v>Project</x:v>
      </x:c>
      <x:c r="B15" s="46" t="str">
        <x:v>Send projectile/spell outward</x:v>
      </x:c>
      <x:c r="C15" s="46" t="str">
        <x:v>Projected Voice, Code Surge, Molten Core, Freezing Prices</x:v>
      </x:c>
      <x:c r="D15" s="46" t="str">
        <x:v>Combat/Puzzle</x:v>
      </x:c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6" t="str">
        <x:v>Throw</x:v>
      </x:c>
      <x:c r="B16" s="46" t="str">
        <x:v>Arc projectile / thrown catalyst</x:v>
      </x:c>
      <x:c r="C16" s="46" t="str">
        <x:v>Catalyst Grenade</x:v>
      </x:c>
      <x:c r="D16" s="46" t="str">
        <x:v>Combat/Puzzle</x:v>
      </x:c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6" t="str">
        <x:v>Float</x:v>
      </x:c>
      <x:c r="B17" s="46" t="str">
        <x:v>Cross water or shallow routes</x:v>
      </x:c>
      <x:c r="C17" s="46" t="str">
        <x:v>Swift Passage Raft</x:v>
      </x:c>
      <x:c r="D17" s="46" t="str">
        <x:v>Traversal</x:v>
      </x:c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6" t="str">
        <x:v>Climb</x:v>
      </x:c>
      <x:c r="B18" s="46" t="str">
        <x:v>Access ledges/cliffs</x:v>
      </x:c>
      <x:c r="C18" s="46" t="str">
        <x:v>Librarian's Ladder</x:v>
      </x:c>
      <x:c r="D18" s="46" t="str">
        <x:v>Traversal</x:v>
      </x:c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6" t="str">
        <x:v>Traverse</x:v>
      </x:c>
      <x:c r="B19" s="46" t="str">
        <x:v>Bridge gap/water</x:v>
      </x:c>
      <x:c r="C19" s="46" t="str">
        <x:v>Bard's Bridge</x:v>
      </x:c>
      <x:c r="D19" s="46" t="str">
        <x:v>Traversal</x:v>
      </x:c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6" t="str">
        <x:v>Collect</x:v>
      </x:c>
      <x:c r="B20" s="46" t="str">
        <x:v>Earn/display mementos</x:v>
      </x:c>
      <x:c r="C20" s="46" t="str">
        <x:v>Realm Mementos</x:v>
      </x:c>
      <x:c r="D20" s="46" t="str">
        <x:v>Collection</x:v>
      </x:c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6" t="str">
        <x:v>Express</x:v>
      </x:c>
      <x:c r="B21" s="46" t="str">
        <x:v>Display identity/cosmetic growth</x:v>
      </x:c>
      <x:c r="C21" s="46" t="str">
        <x:v>Titles, Badges, Cosmetics</x:v>
      </x:c>
      <x:c r="D21" s="46" t="str">
        <x:v>Cosmetic</x:v>
      </x:c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6" t="str">
        <x:v>React</x:v>
      </x:c>
      <x:c r="B22" s="46" t="str">
        <x:v>World responds to movement</x:v>
      </x:c>
      <x:c r="C22" s="46" t="str">
        <x:v>Grass/Crops/Bushes/Bugs/Water/Wind</x:v>
      </x:c>
      <x:c r="D22" s="46" t="str">
        <x:v>Game Feel</x:v>
      </x:c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6" t="str">
        <x:v>Feedback</x:v>
      </x:c>
      <x:c r="B23" s="46" t="str">
        <x:v>Moment-to-moment action response</x:v>
      </x:c>
      <x:c r="C23" s="46" t="str">
        <x:v>Hit Spark, Rune Burst, Dust Puff</x:v>
      </x:c>
      <x:c r="D23" s="46" t="str">
        <x:v>Game Feel</x:v>
      </x:c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  <x:tableParts count="1">
    <x:tablePart xmlns:r="http://schemas.openxmlformats.org/officeDocument/2006/relationships" r:id="R8f1830f328b64a6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</x:cols>
  <x:sheetData>
    <x:row r="1">
      <x:c r="A1" s="43" t="str">
        <x:v>Enemy / Event</x:v>
      </x:c>
      <x:c r="B1" s="43" t="str">
        <x:v>Common Drops</x:v>
      </x:c>
      <x:c r="C1" s="43" t="str">
        <x:v>Uncommon Drops</x:v>
      </x:c>
      <x:c r="D1" s="43" t="str">
        <x:v>Rare Drops</x:v>
      </x:c>
      <x:c r="E1" s="43" t="str">
        <x:v>Notes</x:v>
      </x:c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6" t="str">
        <x:v>Lost Echo - basic</x:v>
      </x:c>
      <x:c r="B2" s="46" t="str">
        <x:v>Remedy Herb</x:v>
      </x:c>
      <x:c r="C2" s="46" t="str">
        <x:v>Focus Tea</x:v>
      </x:c>
      <x:c r="D2" s="46" t="str">
        <x:v>Memento chance</x:v>
      </x:c>
      <x:c r="E2" s="46" t="str">
        <x:v>Keep drops classroom-safe and simple</x:v>
      </x:c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6" t="str">
        <x:v>Lost Echo - agile</x:v>
      </x:c>
      <x:c r="B3" s="46" t="str">
        <x:v>Trail Ration</x:v>
      </x:c>
      <x:c r="C3" s="46" t="str">
        <x:v>Sharpening Stone</x:v>
      </x:c>
      <x:c r="D3" s="46" t="str">
        <x:v>Marker Style cosmetic</x:v>
      </x:c>
      <x:c r="E3" s="46" t="str">
        <x:v>Useful for weapon path</x:v>
      </x:c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6" t="str">
        <x:v>Lost Echo - arcane</x:v>
      </x:c>
      <x:c r="B4" s="46" t="str">
        <x:v>Ember Spark</x:v>
      </x:c>
      <x:c r="C4" s="46" t="str">
        <x:v>Rune Oil</x:v>
      </x:c>
      <x:c r="D4" s="46" t="str">
        <x:v>Journal Badge</x:v>
      </x:c>
      <x:c r="E4" s="46" t="str">
        <x:v>Useful for magic path</x:v>
      </x:c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6" t="str">
        <x:v>Knowledge Battle win</x:v>
      </x:c>
      <x:c r="B5" s="46" t="str">
        <x:v>Focus Tea</x:v>
      </x:c>
      <x:c r="C5" s="46" t="str">
        <x:v>Clarity Leaf</x:v>
      </x:c>
      <x:c r="D5" s="46" t="str">
        <x:v>Title progress</x:v>
      </x:c>
      <x:c r="E5" s="46" t="str">
        <x:v>Rewards learning success</x:v>
      </x:c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6" t="str">
        <x:v>Mini-boss / Boss</x:v>
      </x:c>
      <x:c r="B6" s="46" t="str">
        <x:v>Greater Remedy</x:v>
      </x:c>
      <x:c r="C6" s="46" t="str">
        <x:v>Guard Charm</x:v>
      </x:c>
      <x:c r="D6" s="46" t="str">
        <x:v>Guild-themed badge/memento</x:v>
      </x:c>
      <x:c r="E6" s="46" t="str">
        <x:v>No required quest loss on defeat</x:v>
      </x:c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6" t="str">
        <x:v>Exploration node</x:v>
      </x:c>
      <x:c r="B7" s="46" t="str">
        <x:v>Trail Ration</x:v>
      </x:c>
      <x:c r="C7" s="46" t="str">
        <x:v>Remedy Herb</x:v>
      </x:c>
      <x:c r="D7" s="46" t="str">
        <x:v>Realm Memento</x:v>
      </x:c>
      <x:c r="E7" s="46" t="str">
        <x:v>Use sparingly to make map feel alive</x:v>
      </x:c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6" t="str">
        <x:v>Campfire reflection streak</x:v>
      </x:c>
      <x:c r="B8" s="46" t="str">
        <x:v>None</x:v>
      </x:c>
      <x:c r="C8" s="46" t="str">
        <x:v>Campfire Flame Color</x:v>
      </x:c>
      <x:c r="D8" s="46" t="str">
        <x:v>Traveler Title</x:v>
      </x:c>
      <x:c r="E8" s="46" t="str">
        <x:v>Optional cosmetic reward later</x:v>
      </x:c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  <x:tableParts count="1">
    <x:tablePart xmlns:r="http://schemas.openxmlformats.org/officeDocument/2006/relationships" r:id="R311d0fd53e2d4f1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0" hidden="0" customWidth="1"/>
    <x:col min="4" max="4" width="32" hidden="0" customWidth="1"/>
    <x:col min="5" max="5" width="12" hidden="0" customWidth="1"/>
    <x:col min="6" max="6" width="40" hidden="0" customWidth="1"/>
  </x:cols>
  <x:sheetData>
    <x:row r="1">
      <x:c r="A1" s="43" t="str">
        <x:v>Pass</x:v>
      </x:c>
      <x:c r="B1" s="43" t="str">
        <x:v>System</x:v>
      </x:c>
      <x:c r="C1" s="43" t="str">
        <x:v>Deliverables</x:v>
      </x:c>
      <x:c r="D1" s="43" t="str">
        <x:v>Dependencies</x:v>
      </x:c>
      <x:c r="E1" s="43" t="str">
        <x:v>Priority</x:v>
      </x:c>
      <x:c r="F1" s="43" t="str">
        <x:v>Notes</x:v>
      </x:c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6" t="n">
        <x:v>1</x:v>
      </x:c>
      <x:c r="B2" s="46" t="str">
        <x:v>Pause menu restructure</x:v>
      </x:c>
      <x:c r="C2" s="46" t="str">
        <x:v>Rename Documents to Field Journal; Save to Make Camp; add Satchel button; keep Scroll shell</x:v>
      </x:c>
      <x:c r="D2" s="46" t="str">
        <x:v>Existing pause menu / Scroll overlay</x:v>
      </x:c>
      <x:c r="E2" s="46" t="str">
        <x:v>High</x:v>
      </x:c>
      <x:c r="F2" s="46" t="str">
        <x:v>Fast win; preserves current approach</x:v>
      </x:c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6" t="n">
        <x:v>2</x:v>
      </x:c>
      <x:c r="B3" s="46" t="str">
        <x:v>Field Kit basics</x:v>
      </x:c>
      <x:c r="C3" s="46" t="str">
        <x:v>Compass points to active target; Lantern local light; Trail Marker place/remove; Field Journal visited places; Campfire sequence stub</x:v>
      </x:c>
      <x:c r="D3" s="46" t="str">
        <x:v>Save state; target/quest state</x:v>
      </x:c>
      <x:c r="E3" s="46" t="str">
        <x:v>High</x:v>
      </x:c>
      <x:c r="F3" s="46" t="str">
        <x:v>Defines new player verbs</x:v>
      </x:c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6" t="n">
        <x:v>3</x:v>
      </x:c>
      <x:c r="B4" s="46" t="str">
        <x:v>HP / Resolve + consumables</x:v>
      </x:c>
      <x:c r="C4" s="46" t="str">
        <x:v>HP bar; Overwhelmed state; Remedy Herb; Focus Tea; Sharpening Stone; Rune Oil; first drop table</x:v>
      </x:c>
      <x:c r="D4" s="46" t="str">
        <x:v>Battle loop; enemy defeat event</x:v>
      </x:c>
      <x:c r="E4" s="46" t="str">
        <x:v>High</x:v>
      </x:c>
      <x:c r="F4" s="46" t="str">
        <x:v>Avoid death language</x:v>
      </x:c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6" t="n">
        <x:v>4</x:v>
      </x:c>
      <x:c r="B5" s="46" t="str">
        <x:v>Game-feel VFX</x:v>
      </x:c>
      <x:c r="C5" s="46" t="str">
        <x:v>Hit Spark; Rune Burst; Dust Puff; tuned Grass; Crop/Bush reactions; Campfire Sparks</x:v>
      </x:c>
      <x:c r="D5" s="46" t="str">
        <x:v>Sprite assets / Tiled metadata</x:v>
      </x:c>
      <x:c r="E5" s="46" t="str">
        <x:v>Medium</x:v>
      </x:c>
      <x:c r="F5" s="46" t="str">
        <x:v>Improves fun immediately</x:v>
      </x:c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6" t="n">
        <x:v>5</x:v>
      </x:c>
      <x:c r="B6" s="46" t="str">
        <x:v>Mementos + cosmetics</x:v>
      </x:c>
      <x:c r="C6" s="46" t="str">
        <x:v>Memento grid; Titles; Badges; simple marker skins</x:v>
      </x:c>
      <x:c r="D6" s="46" t="str">
        <x:v>Field Journal UI</x:v>
      </x:c>
      <x:c r="E6" s="46" t="str">
        <x:v>Medium</x:v>
      </x:c>
      <x:c r="F6" s="46" t="str">
        <x:v>No vendor needed</x:v>
      </x:c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6" t="n">
        <x:v>6</x:v>
      </x:c>
      <x:c r="B7" s="46" t="str">
        <x:v>Economy later</x:v>
      </x:c>
      <x:c r="C7" s="46" t="str">
        <x:v>Optional trade/vendor or exchange system</x:v>
      </x:c>
      <x:c r="D7" s="46" t="str">
        <x:v>Drop data; student feedback</x:v>
      </x:c>
      <x:c r="E7" s="46" t="str">
        <x:v>Low</x:v>
      </x:c>
      <x:c r="F7" s="46" t="str">
        <x:v>Do not build yet</x:v>
      </x:c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  <x:tableParts count="1">
    <x:tablePart xmlns:r="http://schemas.openxmlformats.org/officeDocument/2006/relationships" r:id="R59b5f2ca460e4bb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50" hidden="0" customWidth="1"/>
  </x:cols>
  <x:sheetData>
    <x:row r="1">
      <x:c r="A1" s="43" t="str">
        <x:v>Old Button / Concept</x:v>
      </x:c>
      <x:c r="B1" s="43" t="str">
        <x:v>New Button / Concept</x:v>
      </x:c>
      <x:c r="C1" s="43" t="str">
        <x:v>Purpose</x:v>
      </x:c>
      <x:c r="D1" s="43" t="str">
        <x:v>Implementation Notes</x:v>
      </x:c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6" t="str">
        <x:v>Documents</x:v>
      </x:c>
      <x:c r="B2" s="46" t="str">
        <x:v>Field Journal</x:v>
      </x:c>
      <x:c r="C2" s="46" t="str">
        <x:v>Work files + review memory system</x:v>
      </x:c>
      <x:c r="D2" s="46" t="str">
        <x:v>Tabs: Work Files, Journey Review, Enemy Records, Realm Notes, Mementos</x:v>
      </x:c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6" t="str">
        <x:v>Save</x:v>
      </x:c>
      <x:c r="B3" s="46" t="str">
        <x:v>Make Camp</x:v>
      </x:c>
      <x:c r="C3" s="46" t="str">
        <x:v>Save ritual with campfire sequence</x:v>
      </x:c>
      <x:c r="D3" s="46" t="str">
        <x:v>Launch camp animation, reflection prompt, save confirmation</x:v>
      </x:c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6" t="str">
        <x:v>Inventory / Items</x:v>
      </x:c>
      <x:c r="B4" s="46" t="str">
        <x:v>Satchel</x:v>
      </x:c>
      <x:c r="C4" s="46" t="str">
        <x:v>Consumables and drops</x:v>
      </x:c>
      <x:c r="D4" s="46" t="str">
        <x:v>Show counts, use in battle/outside battle as allowed</x:v>
      </x:c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6" t="str">
        <x:v>Map</x:v>
      </x:c>
      <x:c r="B5" s="46" t="str">
        <x:v>World Atlas</x:v>
      </x:c>
      <x:c r="C5" s="46" t="str">
        <x:v>World/realm navigation and fog progress</x:v>
      </x:c>
      <x:c r="D5" s="46" t="str">
        <x:v>May integrate Trail Markers and compass target selection</x:v>
      </x:c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6" t="str">
        <x:v>Quest Log</x:v>
      </x:c>
      <x:c r="B6" s="46" t="str">
        <x:v>Quest Log</x:v>
      </x:c>
      <x:c r="C6" s="46" t="str">
        <x:v>Active and completed quests</x:v>
      </x:c>
      <x:c r="D6" s="46" t="str">
        <x:v>Keep visible next required action</x:v>
      </x:c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6" t="str">
        <x:v>Settings / Help</x:v>
      </x:c>
      <x:c r="B7" s="46" t="str">
        <x:v>Settings / Help</x:v>
      </x:c>
      <x:c r="C7" s="46" t="str">
        <x:v>Controls, audio, help, rescue notes</x:v>
      </x:c>
      <x:c r="D7" s="46" t="str">
        <x:v>Important for classroom resilience</x:v>
      </x:c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  <x:tableParts count="1">
    <x:tablePart xmlns:r="http://schemas.openxmlformats.org/officeDocument/2006/relationships" r:id="R06cd7e8dd36a4cf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</x:cols>
  <x:sheetData>
    <x:row r="1">
      <x:c r="A1" s="43" t="str">
        <x:v>Categories</x:v>
      </x:c>
      <x:c r="B1" s="43" t="str">
        <x:v>Statuses</x:v>
      </x:c>
      <x:c r="C1" s="43" t="str">
        <x:v>Priorities</x:v>
      </x:c>
      <x:c r="D1" s="43" t="str">
        <x:v>Source Types</x:v>
      </x:c>
      <x:c r="E1" s="43" t="str">
        <x:v>Verbs</x:v>
      </x:c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1" t="str">
        <x:v>Cosmetic</x:v>
      </x:c>
      <x:c r="B2" s="41" t="str">
        <x:v>Approved</x:v>
      </x:c>
      <x:c r="C2" s="41" t="str">
        <x:v>High</x:v>
      </x:c>
      <x:c r="D2" s="41" t="str">
        <x:v>Drop</x:v>
      </x:c>
      <x:c r="E2" s="41" t="str">
        <x:v>Cleanse</x:v>
      </x:c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 t="str">
        <x:v>Field Kit</x:v>
      </x:c>
      <x:c r="B3" s="41" t="str">
        <x:v>In Progress</x:v>
      </x:c>
      <x:c r="C3" s="41" t="str">
        <x:v>Medium</x:v>
      </x:c>
      <x:c r="D3" s="41" t="str">
        <x:v>Find</x:v>
      </x:c>
      <x:c r="E3" s="41" t="str">
        <x:v>Climb</x:v>
      </x:c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1" t="str">
        <x:v>Guild Relic</x:v>
      </x:c>
      <x:c r="B4" s="41" t="str">
        <x:v>Planned</x:v>
      </x:c>
      <x:c r="C4" s="41" t="str">
        <x:v>Low</x:v>
      </x:c>
      <x:c r="D4" s="41" t="str">
        <x:v>Main quest reward</x:v>
      </x:c>
      <x:c r="E4" s="41" t="str">
        <x:v>Collect</x:v>
      </x:c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1" t="str">
        <x:v>Memento</x:v>
      </x:c>
      <x:c r="B5" s="41" t="str">
        <x:v>Deferred</x:v>
      </x:c>
      <x:c r="C5" s="41"/>
      <x:c r="D5" s="41" t="str">
        <x:v>Quest reward</x:v>
      </x:c>
      <x:c r="E5" s="41" t="str">
        <x:v>Empower Magic</x:v>
      </x:c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1" t="str">
        <x:v>Satchel Consumable</x:v>
      </x:c>
      <x:c r="B6" s="41" t="str">
        <x:v>Needs Design</x:v>
      </x:c>
      <x:c r="C6" s="41"/>
      <x:c r="D6" s="41" t="str">
        <x:v>Reward</x:v>
      </x:c>
      <x:c r="E6" s="41" t="str">
        <x:v>Empower Weapon</x:v>
      </x:c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1" t="str">
        <x:v>VFX / Environment</x:v>
      </x:c>
      <x:c r="B7" s="41"/>
      <x:c r="C7" s="41"/>
      <x:c r="D7" s="41" t="str">
        <x:v>System</x:v>
      </x:c>
      <x:c r="E7" s="41" t="str">
        <x:v>Express</x:v>
      </x:c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1"/>
      <x:c r="B8" s="41"/>
      <x:c r="C8" s="41"/>
      <x:c r="D8" s="41" t="str">
        <x:v>System unlock</x:v>
      </x:c>
      <x:c r="E8" s="41" t="str">
        <x:v>Feedback</x:v>
      </x:c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/>
      <x:c r="D9" s="41"/>
      <x:c r="E9" s="41" t="str">
        <x:v>Float</x:v>
      </x:c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 t="str">
        <x:v>Focus</x:v>
      </x:c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 t="str">
        <x:v>Guard</x:v>
      </x:c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 t="str">
        <x:v>Heal</x:v>
      </x:c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 t="str">
        <x:v>Illuminate</x:v>
      </x:c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 t="str">
        <x:v>Mark</x:v>
      </x:c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 t="str">
        <x:v>Orient</x:v>
      </x:c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 t="str">
        <x:v>Project</x:v>
      </x:c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 t="str">
        <x:v>React</x:v>
      </x:c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 t="str">
        <x:v>Recharge</x:v>
      </x:c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 t="str">
        <x:v>Remember</x:v>
      </x:c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 t="str">
        <x:v>Rest / Save</x:v>
      </x:c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 t="str">
        <x:v>Shield</x:v>
      </x:c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 t="str">
        <x:v>Slash</x:v>
      </x:c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 t="str">
        <x:v>Smash</x:v>
      </x:c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 t="str">
        <x:v>Sustain</x:v>
      </x:c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 t="str">
        <x:v>Throw</x:v>
      </x:c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 t="str">
        <x:v>Traverse</x:v>
      </x:c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</x:worksheet>
</file>